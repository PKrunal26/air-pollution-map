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Deck" sheetId="2" state="visible" r:id="rId2"/>
    <sheet name="Summary" sheetId="3" state="visible" r:id="rId3"/>
    <sheet name="Types" sheetId="4" state="visible" r:id="rId4"/>
    <sheet name="Not visible" sheetId="5" state="visible" r:id="rId5"/>
    <sheet name="SoGA context" sheetId="6" state="visible" r:id="rId6"/>
    <sheet name="SoGA checks" sheetId="7" state="visible" r:id="rId7"/>
  </sheets>
  <definedNames>
    <definedName name="WHO_PM25">Summary!$B$18</definedName>
    <definedName name="WHO_PM25_ANNUAL">Summary!$B$19</definedName>
    <definedName name="_xlnm._FilterDatabase" localSheetId="1" hidden="1">'Deck'!$A$1:$AG$20</definedName>
  </definedNames>
  <calcPr calcId="124519" fullCalcOnLoad="1"/>
</workbook>
</file>

<file path=xl/styles.xml><?xml version="1.0" encoding="utf-8"?>
<styleSheet xmlns="http://schemas.openxmlformats.org/spreadsheetml/2006/main">
  <numFmts count="2">
    <numFmt numFmtId="164" formatCode="0.0&quot;x&quot;"/>
    <numFmt numFmtId="165" formatCode="0.0"/>
  </numFmts>
  <fonts count="7">
    <font>
      <name val="Calibri"/>
      <family val="2"/>
      <color theme="1"/>
      <sz val="11"/>
      <scheme val="minor"/>
    </font>
    <font>
      <name val="Arial"/>
      <b val="1"/>
      <sz val="10"/>
    </font>
    <font>
      <name val="Arial"/>
      <sz val="10"/>
    </font>
    <font>
      <name val="Arial"/>
      <color rgb="000000FF"/>
      <sz val="10"/>
    </font>
    <font>
      <name val="Arial"/>
      <b val="1"/>
      <color rgb="00FFFFFF"/>
      <sz val="10"/>
    </font>
    <font>
      <name val="Arial"/>
      <color rgb="00888888"/>
      <sz val="10"/>
    </font>
    <font>
      <name val="Arial"/>
      <i val="1"/>
      <color rgb="00666666"/>
      <sz val="10"/>
    </font>
  </fonts>
  <fills count="8">
    <fill>
      <patternFill/>
    </fill>
    <fill>
      <patternFill patternType="gray125"/>
    </fill>
    <fill>
      <patternFill patternType="solid">
        <fgColor rgb="002F3B36"/>
      </patternFill>
    </fill>
    <fill>
      <patternFill patternType="solid">
        <fgColor rgb="00F6D7C3"/>
      </patternFill>
    </fill>
    <fill>
      <patternFill patternType="solid">
        <fgColor rgb="00FFF4B8"/>
      </patternFill>
    </fill>
    <fill>
      <patternFill patternType="solid">
        <fgColor rgb="00DCE8F5"/>
      </patternFill>
    </fill>
    <fill>
      <patternFill patternType="solid">
        <fgColor rgb="00EEEEEE"/>
      </patternFill>
    </fill>
    <fill>
      <patternFill patternType="solid">
        <fgColor rgb="00F3F3F3"/>
      </patternFill>
    </fill>
  </fills>
  <borders count="2">
    <border>
      <left/>
      <right/>
      <top/>
      <bottom/>
      <diagonal/>
    </border>
    <border>
      <bottom style="thin">
        <color rgb="00CCCCCC"/>
      </bottom>
    </border>
  </borders>
  <cellStyleXfs count="1">
    <xf numFmtId="0" fontId="0" fillId="0" borderId="0"/>
  </cellStyleXfs>
  <cellXfs count="2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164"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5" fillId="0" borderId="1" applyAlignment="1" pivotButton="0" quotePrefix="0" xfId="0">
      <alignment vertical="top" wrapText="1"/>
    </xf>
    <xf numFmtId="0" fontId="1" fillId="0" borderId="0" pivotButton="0" quotePrefix="0" xfId="0"/>
    <xf numFmtId="0" fontId="4" fillId="2" borderId="0" pivotButton="0" quotePrefix="0" xfId="0"/>
    <xf numFmtId="0" fontId="3" fillId="0" borderId="0" pivotButton="0" quotePrefix="0" xfId="0"/>
    <xf numFmtId="0" fontId="6" fillId="0" borderId="0" pivotButton="0" quotePrefix="0" xfId="0"/>
    <xf numFmtId="164" fontId="3" fillId="0" borderId="0" applyAlignment="1" pivotButton="0" quotePrefix="0" xfId="0">
      <alignment vertical="top" wrapText="1"/>
    </xf>
    <xf numFmtId="164" fontId="2" fillId="0" borderId="0"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9" fontId="2" fillId="7" borderId="1" applyAlignment="1" pivotButton="0" quotePrefix="0" xfId="0">
      <alignment vertical="top" wrapText="1"/>
    </xf>
    <xf numFmtId="165" fontId="2" fillId="7" borderId="1" applyAlignment="1" pivotButton="0" quotePrefix="0" xfId="0">
      <alignment vertical="top" wrapText="1"/>
    </xf>
    <xf numFmtId="3" fontId="3" fillId="7" borderId="1" applyAlignment="1" pivotButton="0" quotePrefix="0" xfId="0">
      <alignment vertical="top" wrapText="1"/>
    </xf>
    <xf numFmtId="9" fontId="2" fillId="0" borderId="1" applyAlignment="1" pivotButton="0" quotePrefix="0" xfId="0">
      <alignment vertical="top" wrapText="1"/>
    </xf>
    <xf numFmtId="165" fontId="2" fillId="0" borderId="1" applyAlignment="1" pivotButton="0" quotePrefix="0" xfId="0">
      <alignment vertical="top" wrapText="1"/>
    </xf>
    <xf numFmtId="3"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Claude</author>
  </authors>
  <commentList>
    <comment ref="P1" authorId="0" shapeId="0">
      <text>
        <t>Area mean divided by Usual. Formula.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0" customWidth="1" min="1" max="1"/>
  </cols>
  <sheetData>
    <row r="1">
      <c r="A1" s="1" t="inlineStr">
        <is>
          <t>Event cards: deck candidates</t>
        </is>
      </c>
    </row>
    <row r="2">
      <c r="A2" s="2" t="inlineStr"/>
    </row>
    <row r="3">
      <c r="A3" s="1" t="inlineStr">
        <is>
          <t>What this is</t>
        </is>
      </c>
    </row>
    <row r="4">
      <c r="A4" s="3" t="inlineStr">
        <is>
          <t>Candidate cards for the event-card game. Each row is one event that can be found on the globe in the monthly history (Aug 2022 - Sep 2026).</t>
        </is>
      </c>
    </row>
    <row r="5">
      <c r="A5" s="3" t="inlineStr">
        <is>
          <t>Status: Proposed = in the first deck; Maybe = alternate or duplicate; Cut = remove. Change it in the Deck sheet.</t>
        </is>
      </c>
    </row>
    <row r="6">
      <c r="A6" s="2" t="inlineStr"/>
    </row>
    <row r="7">
      <c r="A7" s="1" t="inlineStr">
        <is>
          <t>Colours</t>
        </is>
      </c>
    </row>
    <row r="8">
      <c r="A8" s="4" t="inlineStr">
        <is>
          <t>Blue text = measured from the published monthly data (one-off calculation, see below). Do not retype.</t>
        </is>
      </c>
    </row>
    <row r="9">
      <c r="A9" s="3" t="inlineStr">
        <is>
          <t>Black text = formula or written content.</t>
        </is>
      </c>
    </row>
    <row r="10">
      <c r="A10" s="3" t="inlineStr">
        <is>
          <t>Yellow cells = still to write: clues, questions, back text, sources.</t>
        </is>
      </c>
    </row>
    <row r="11">
      <c r="A11" s="3" t="inlineStr">
        <is>
          <t>Cause and misconception columns are first drafts. Every one needs a source before it goes into the game.</t>
        </is>
      </c>
    </row>
    <row r="12">
      <c r="A12" s="2" t="inlineStr"/>
    </row>
    <row r="13">
      <c r="A13" s="1" t="inlineStr">
        <is>
          <t>How the numbers were measured</t>
        </is>
      </c>
    </row>
    <row r="14">
      <c r="A14" s="3" t="inlineStr">
        <is>
          <t>Source: public/data/air-history.json and air-month-NN.bin.gz (CAMS global monthly means, 0.4 deg grid).</t>
        </is>
      </c>
    </row>
    <row r="15">
      <c r="A15" s="3" t="inlineStr">
        <is>
          <t>Box: a rough lon/lat rectangle (W, E, S, N) around the event. The real footprint polygon is drawn later.</t>
        </is>
      </c>
    </row>
    <row r="16">
      <c r="A16" s="3" t="inlineStr">
        <is>
          <t>Peak: highest monthly-mean cell inside the box in that month (ug/m3).</t>
        </is>
      </c>
    </row>
    <row r="17">
      <c r="A17" s="3" t="inlineStr">
        <is>
          <t>Area mean: mean over all cells in the box that month. Usual: mean over the box of each cell's median across all 50 months.</t>
        </is>
      </c>
    </row>
    <row r="18">
      <c r="A18" s="3" t="inlineStr">
        <is>
          <t>x usual = Area mean / Usual (formula). Area &gt;= 2x usual: total area of cells whose value that month is at least twice their own median (thousand km2).</t>
        </is>
      </c>
    </row>
    <row r="19">
      <c r="A19" s="3" t="inlineStr">
        <is>
          <t>PM2.5 peak and PM2.5 area mean: the same measurements for PM2.5, for every card. Dust cards use PM2.5 here because WHO has no guideline for desert dust; PM2.5 at that place and month includes the fine part of the dust.</t>
        </is>
      </c>
    </row>
    <row r="20">
      <c r="A20" s="3" t="inlineStr">
        <is>
          <t>x WHO = PM2.5 / the WHO 2021 24-hour PM2.5 guideline (15 ug/m3, named cell WHO_PM25 in Summary). A monthly mean is the average of that month's daily means, so this reads as: on an average day that month, the air was N times the WHO daily guideline. It is not the annual guideline (5 ug/m3), which would give numbers 3x higher.</t>
        </is>
      </c>
    </row>
    <row r="21">
      <c r="A21" s="3" t="inlineStr">
        <is>
          <t>Same month, other years: the box mean for the same calendar month in every year of the record. This is the evidence for rarity.</t>
        </is>
      </c>
    </row>
    <row r="22">
      <c r="A22" s="3" t="inlineStr">
        <is>
          <t>These are draft measurements to choose cards with. Card front stats: Peak (worst cell, in the card layer), x WHO (footprint-average PM2.5 / 15), Area, Reach, all measured on the final footprint polygon. The x usual column stays here only as evidence for rarity.</t>
        </is>
      </c>
    </row>
    <row r="23">
      <c r="A23" s="2" t="inlineStr"/>
    </row>
    <row r="24">
      <c r="A24" s="1" t="inlineStr">
        <is>
          <t>Rules agreed so far</t>
        </is>
      </c>
    </row>
    <row r="25">
      <c r="A25" s="3" t="inlineStr">
        <is>
          <t>About 20 cards at most. Rarity by how often the event happens: Common (yearly), Uncommon (every few years), Rare (once in decades). Target roughly 10 / 6 / 4.</t>
        </is>
      </c>
    </row>
    <row r="26">
      <c r="A26" s="3" t="inlineStr">
        <is>
          <t>Only events visible in the monthly history. Cards never get reordered or removed once live (recovery links depend on order).</t>
        </is>
      </c>
    </row>
    <row r="27">
      <c r="A27" s="3" t="inlineStr">
        <is>
          <t>Two cards must not share a place and month, or one pin finds both.</t>
        </is>
      </c>
    </row>
    <row r="29">
      <c r="A29" s="1" t="inlineStr">
        <is>
          <t>State of Global Air context (added 16 Oct 2026)</t>
        </is>
      </c>
    </row>
    <row r="30">
      <c r="A30" s="3" t="inlineStr">
        <is>
          <t>SoGA context: yearly national PM2.5, household-fuel use, ozone and deaths linked to air pollution for each card's countries, with a draft card-back line per card. Background only; see the notes under the table.</t>
        </is>
      </c>
    </row>
    <row r="31">
      <c r="A31" s="3" t="inlineStr">
        <is>
          <t>SoGA checks: every figure the report prints for these countries, checked against the stateofglobalair.org data, plus errors found in the report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0" customWidth="1" min="2" max="2"/>
    <col width="22" customWidth="1" min="3" max="3"/>
    <col width="34" customWidth="1" min="4" max="4"/>
    <col width="15" customWidth="1" min="5" max="5"/>
    <col width="11" customWidth="1" min="6" max="6"/>
    <col width="34" customWidth="1" min="7" max="7"/>
    <col width="7" customWidth="1" min="8" max="8"/>
    <col width="9" customWidth="1" min="9" max="9"/>
    <col width="30" customWidth="1" min="10" max="10"/>
    <col width="20" customWidth="1" min="11" max="11"/>
    <col width="10" customWidth="1" min="12" max="12"/>
    <col width="14" customWidth="1" min="13" max="13"/>
    <col width="11" customWidth="1" min="14" max="14"/>
    <col width="10" customWidth="1" min="15" max="15"/>
    <col width="8" customWidth="1" min="16" max="16"/>
    <col width="10" customWidth="1" min="17" max="17"/>
    <col width="9" customWidth="1" min="18" max="18"/>
    <col width="10" customWidth="1" min="19" max="19"/>
    <col width="9" customWidth="1" min="20" max="20"/>
    <col width="12" customWidth="1" min="21" max="21"/>
    <col width="40" customWidth="1" min="22" max="22"/>
    <col width="48" customWidth="1" min="23" max="23"/>
    <col width="40" customWidth="1" min="24" max="24"/>
    <col width="30" customWidth="1" min="25" max="25"/>
    <col width="20" customWidth="1" min="26" max="26"/>
    <col width="20" customWidth="1" min="27" max="27"/>
    <col width="30" customWidth="1" min="28" max="28"/>
    <col width="30" customWidth="1" min="29" max="29"/>
    <col width="30" customWidth="1" min="30" max="30"/>
    <col width="40" customWidth="1" min="31" max="31"/>
    <col width="30" customWidth="1" min="32" max="32"/>
    <col width="48" customWidth="1" min="33" max="33"/>
  </cols>
  <sheetData>
    <row r="1" ht="32" customHeight="1">
      <c r="A1" s="5" t="inlineStr">
        <is>
          <t>#</t>
        </is>
      </c>
      <c r="B1" s="5" t="inlineStr">
        <is>
          <t>Status</t>
        </is>
      </c>
      <c r="C1" s="5" t="inlineStr">
        <is>
          <t>ID</t>
        </is>
      </c>
      <c r="D1" s="5" t="inlineStr">
        <is>
          <t>Name</t>
        </is>
      </c>
      <c r="E1" s="5" t="inlineStr">
        <is>
          <t>Type</t>
        </is>
      </c>
      <c r="F1" s="5" t="inlineStr">
        <is>
          <t>Rarity</t>
        </is>
      </c>
      <c r="G1" s="5" t="inlineStr">
        <is>
          <t>Rarity note</t>
        </is>
      </c>
      <c r="H1" s="5" t="inlineStr">
        <is>
          <t>Layer</t>
        </is>
      </c>
      <c r="I1" s="5" t="inlineStr">
        <is>
          <t>Month</t>
        </is>
      </c>
      <c r="J1" s="5" t="inlineStr">
        <is>
          <t>Region</t>
        </is>
      </c>
      <c r="K1" s="5" t="inlineStr">
        <is>
          <t>Box W, E, S, N</t>
        </is>
      </c>
      <c r="L1" s="5" t="inlineStr">
        <is>
          <t>Peak (ug/m3)</t>
        </is>
      </c>
      <c r="M1" s="5" t="inlineStr">
        <is>
          <t>Peak at (lat, lon)</t>
        </is>
      </c>
      <c r="N1" s="5" t="inlineStr">
        <is>
          <t>Area mean (ug/m3)</t>
        </is>
      </c>
      <c r="O1" s="5" t="inlineStr">
        <is>
          <t>Usual (ug/m3)</t>
        </is>
      </c>
      <c r="P1" s="5" t="inlineStr">
        <is>
          <t>x usual</t>
        </is>
      </c>
      <c r="Q1" s="5" t="inlineStr">
        <is>
          <t>PM2.5 peak (ug/m3)</t>
        </is>
      </c>
      <c r="R1" s="5" t="inlineStr">
        <is>
          <t>x WHO at peak (not on card)</t>
        </is>
      </c>
      <c r="S1" s="5" t="inlineStr">
        <is>
          <t>PM2.5 area mean (ug/m3)</t>
        </is>
      </c>
      <c r="T1" s="5" t="inlineStr">
        <is>
          <t>x WHO (card stat): area mean</t>
        </is>
      </c>
      <c r="U1" s="5" t="inlineStr">
        <is>
          <t>Area &gt;= 2x usual (k km2)</t>
        </is>
      </c>
      <c r="V1" s="5" t="inlineStr">
        <is>
          <t>Same month, other years (area mean)</t>
        </is>
      </c>
      <c r="W1" s="5" t="inlineStr">
        <is>
          <t>Main cause (draft)</t>
        </is>
      </c>
      <c r="X1" s="5" t="inlineStr">
        <is>
          <t>Common misconception (draft)</t>
        </is>
      </c>
      <c r="Y1" s="5" t="inlineStr">
        <is>
          <t>Clue 1: riddle</t>
        </is>
      </c>
      <c r="Z1" s="5" t="inlineStr">
        <is>
          <t>Clue 2: region</t>
        </is>
      </c>
      <c r="AA1" s="5" t="inlineStr">
        <is>
          <t>Clue 3: country and month</t>
        </is>
      </c>
      <c r="AB1" s="5" t="inlineStr">
        <is>
          <t>Question 1</t>
        </is>
      </c>
      <c r="AC1" s="5" t="inlineStr">
        <is>
          <t>Question 2</t>
        </is>
      </c>
      <c r="AD1" s="5" t="inlineStr">
        <is>
          <t>Question 3</t>
        </is>
      </c>
      <c r="AE1" s="5" t="inlineStr">
        <is>
          <t>Back of card</t>
        </is>
      </c>
      <c r="AF1" s="5" t="inlineStr">
        <is>
          <t>Sources</t>
        </is>
      </c>
      <c r="AG1" s="5" t="inlineStr">
        <is>
          <t>Notes</t>
        </is>
      </c>
    </row>
    <row r="2">
      <c r="A2" s="6" t="n">
        <v>1</v>
      </c>
      <c r="B2" s="6" t="inlineStr">
        <is>
          <t>Proposed</t>
        </is>
      </c>
      <c r="C2" s="6" t="inlineStr">
        <is>
          <t>canada-2023</t>
        </is>
      </c>
      <c r="D2" s="6" t="inlineStr">
        <is>
          <t>Canadian wildfire smoke, June 2023</t>
        </is>
      </c>
      <c r="E2" s="6" t="inlineStr">
        <is>
          <t>Wildfire</t>
        </is>
      </c>
      <c r="F2" s="7" t="inlineStr">
        <is>
          <t>Rare</t>
        </is>
      </c>
      <c r="G2" s="6" t="inlineStr">
        <is>
          <t>Record Canadian fire season; smoke this dense over the US north-east is unprecedented in the record.</t>
        </is>
      </c>
      <c r="H2" s="6" t="inlineStr">
        <is>
          <t>PM2.5</t>
        </is>
      </c>
      <c r="I2" s="6" t="inlineStr">
        <is>
          <t>2023-06</t>
        </is>
      </c>
      <c r="J2" s="6" t="inlineStr">
        <is>
          <t>Quebec, Ontario and the US north-east</t>
        </is>
      </c>
      <c r="K2" s="6" t="inlineStr">
        <is>
          <t>-90, -60, 40, 58</t>
        </is>
      </c>
      <c r="L2" s="8" t="n">
        <v>138.1</v>
      </c>
      <c r="M2" s="8" t="inlineStr">
        <is>
          <t>51.2, -73.6</t>
        </is>
      </c>
      <c r="N2" s="8" t="n">
        <v>19.3</v>
      </c>
      <c r="O2" s="8" t="n">
        <v>5.8</v>
      </c>
      <c r="P2" s="9">
        <f>IFERROR(N2/O2,"")</f>
        <v/>
      </c>
      <c r="Q2" s="8" t="n">
        <v>138.1</v>
      </c>
      <c r="R2" s="9">
        <f>Q2/WHO_PM25</f>
        <v/>
      </c>
      <c r="S2" s="8" t="n">
        <v>19.3</v>
      </c>
      <c r="T2" s="9">
        <f>S2/WHO_PM25</f>
        <v/>
      </c>
      <c r="U2" s="8" t="n">
        <v>3700</v>
      </c>
      <c r="V2" s="8" t="inlineStr">
        <is>
          <t>2023-06: 19.3  2024-06: 8.9  2025-06: 15.2  2026-06: 7.4</t>
        </is>
      </c>
      <c r="W2" s="6" t="inlineStr">
        <is>
          <t>Hundreds of boreal forest fires in Quebec, many started by lightning in early June after a dry, hot spring; northerly winds carried the smoke south.</t>
        </is>
      </c>
      <c r="X2" s="6" t="inlineStr">
        <is>
          <t>That the smoke came from US fires, or that most fires were set by people.</t>
        </is>
      </c>
      <c r="Y2" s="10" t="inlineStr"/>
      <c r="Z2" s="10" t="inlineStr"/>
      <c r="AA2" s="10" t="inlineStr"/>
      <c r="AB2" s="10" t="inlineStr"/>
      <c r="AC2" s="10" t="inlineStr"/>
      <c r="AD2" s="10" t="inlineStr"/>
      <c r="AE2" s="10" t="inlineStr"/>
      <c r="AF2" s="10" t="inlineStr"/>
      <c r="AG2" s="6" t="inlineStr">
        <is>
          <t>New York had its worst air on record on 7 June 2023. In the monthly mean, the reach to Europe is weak (1.4x usual), so the footprint should stop at the Atlantic coast. Aug 2023 (NWT) is an alternate for the same season.</t>
        </is>
      </c>
    </row>
    <row r="3">
      <c r="A3" s="6" t="n">
        <v>2</v>
      </c>
      <c r="B3" s="6" t="inlineStr">
        <is>
          <t>Proposed</t>
        </is>
      </c>
      <c r="C3" s="6" t="inlineStr">
        <is>
          <t>south-america-2024</t>
        </is>
      </c>
      <c r="D3" s="6" t="inlineStr">
        <is>
          <t>South American fire smoke, September 2024</t>
        </is>
      </c>
      <c r="E3" s="6" t="inlineStr">
        <is>
          <t>Wildfire</t>
        </is>
      </c>
      <c r="F3" s="7" t="inlineStr">
        <is>
          <t>Rare</t>
        </is>
      </c>
      <c r="G3" s="6" t="inlineStr">
        <is>
          <t>Record drought year; about 3x the average of the other Septembers in the record.</t>
        </is>
      </c>
      <c r="H3" s="6" t="inlineStr">
        <is>
          <t>PM2.5</t>
        </is>
      </c>
      <c r="I3" s="6" t="inlineStr">
        <is>
          <t>2024-09</t>
        </is>
      </c>
      <c r="J3" s="6" t="inlineStr">
        <is>
          <t>Bolivia, the Pantanal and the southern Amazon</t>
        </is>
      </c>
      <c r="K3" s="6" t="inlineStr">
        <is>
          <t>-70, -45, -25, -5</t>
        </is>
      </c>
      <c r="L3" s="8" t="n">
        <v>526</v>
      </c>
      <c r="M3" s="8" t="inlineStr">
        <is>
          <t>-15.6, -62.4</t>
        </is>
      </c>
      <c r="N3" s="8" t="n">
        <v>45</v>
      </c>
      <c r="O3" s="8" t="n">
        <v>7.1</v>
      </c>
      <c r="P3" s="9">
        <f>IFERROR(N3/O3,"")</f>
        <v/>
      </c>
      <c r="Q3" s="8" t="n">
        <v>526</v>
      </c>
      <c r="R3" s="9">
        <f>Q3/WHO_PM25</f>
        <v/>
      </c>
      <c r="S3" s="8" t="n">
        <v>45</v>
      </c>
      <c r="T3" s="9">
        <f>S3/WHO_PM25</f>
        <v/>
      </c>
      <c r="U3" s="8" t="n">
        <v>4769</v>
      </c>
      <c r="V3" s="8" t="inlineStr">
        <is>
          <t>2022-09: 25.2  2023-09: 12.0  2024-09: 45.0  2025-09: 10.1  2026-09: 11.3</t>
        </is>
      </c>
      <c r="W3" s="6" t="inlineStr">
        <is>
          <t>Fires set to clear land and burn pasture spread out of control during a record drought (lowest Amazon river levels on record); Bolivia had its largest burned area on record.</t>
        </is>
      </c>
      <c r="X3" s="6" t="inlineStr">
        <is>
          <t>That rainforest fires start naturally. Almost all Amazon fires are set by people.</t>
        </is>
      </c>
      <c r="Y3" s="10" t="inlineStr"/>
      <c r="Z3" s="10" t="inlineStr"/>
      <c r="AA3" s="10" t="inlineStr"/>
      <c r="AB3" s="10" t="inlineStr"/>
      <c r="AC3" s="10" t="inlineStr"/>
      <c r="AD3" s="10" t="inlineStr"/>
      <c r="AE3" s="10" t="inlineStr"/>
      <c r="AF3" s="10" t="inlineStr"/>
      <c r="AG3" s="6" t="inlineStr">
        <is>
          <t>Peak cell is in Bolivia (Beni / Santa Cruz). The Pantanal alone is 8.7x usual. August 2024 also elevated; the card could cover Aug-Sep.</t>
        </is>
      </c>
    </row>
    <row r="4">
      <c r="A4" s="6" t="n">
        <v>3</v>
      </c>
      <c r="B4" s="6" t="inlineStr">
        <is>
          <t>Proposed</t>
        </is>
      </c>
      <c r="C4" s="6" t="inlineStr">
        <is>
          <t>indonesia-2026</t>
        </is>
      </c>
      <c r="D4" s="6" t="inlineStr">
        <is>
          <t>Indonesian peat haze, September 2026</t>
        </is>
      </c>
      <c r="E4" s="6" t="inlineStr">
        <is>
          <t>Peat fire</t>
        </is>
      </c>
      <c r="F4" s="7" t="inlineStr">
        <is>
          <t>Rare</t>
        </is>
      </c>
      <c r="G4" s="6" t="inlineStr">
        <is>
          <t>Highest September in the record, 2.4x the 2023 haze year. Verify against 2015 and 2019 before calling it rare.</t>
        </is>
      </c>
      <c r="H4" s="6" t="inlineStr">
        <is>
          <t>PM2.5</t>
        </is>
      </c>
      <c r="I4" s="6" t="inlineStr">
        <is>
          <t>2026-09</t>
        </is>
      </c>
      <c r="J4" s="6" t="inlineStr">
        <is>
          <t>Kalimantan, Sumatra, Singapore, Malaysia</t>
        </is>
      </c>
      <c r="K4" s="6" t="inlineStr">
        <is>
          <t>95, 120, -6, 4</t>
        </is>
      </c>
      <c r="L4" s="8" t="n">
        <v>659</v>
      </c>
      <c r="M4" s="8" t="inlineStr">
        <is>
          <t>-2.0, 114.0</t>
        </is>
      </c>
      <c r="N4" s="8" t="n">
        <v>38.2</v>
      </c>
      <c r="O4" s="8" t="n">
        <v>9.9</v>
      </c>
      <c r="P4" s="9">
        <f>IFERROR(N4/O4,"")</f>
        <v/>
      </c>
      <c r="Q4" s="8" t="n">
        <v>659</v>
      </c>
      <c r="R4" s="9">
        <f>Q4/WHO_PM25</f>
        <v/>
      </c>
      <c r="S4" s="8" t="n">
        <v>38.2</v>
      </c>
      <c r="T4" s="9">
        <f>S4/WHO_PM25</f>
        <v/>
      </c>
      <c r="U4" s="8" t="n">
        <v>2157</v>
      </c>
      <c r="V4" s="8" t="inlineStr">
        <is>
          <t>2022-09: 10.2  2023-09: 16.1  2024-09: 13.0  2025-09: 10.5  2026-09: 38.2</t>
        </is>
      </c>
      <c r="W4" s="6" t="inlineStr">
        <is>
          <t>Drained peatland burning in Kalimantan and southern Sumatra, mostly fires used to clear land, made worse by El Nino drought. Peat smoulders underground for weeks.</t>
        </is>
      </c>
      <c r="X4" s="6" t="inlineStr">
        <is>
          <t>That the haze comes from Singapore or Malaysian industry, or from ordinary forest fires that rain can put out.</t>
        </is>
      </c>
      <c r="Y4" s="10" t="inlineStr"/>
      <c r="Z4" s="10" t="inlineStr"/>
      <c r="AA4" s="10" t="inlineStr"/>
      <c r="AB4" s="10" t="inlineStr"/>
      <c r="AC4" s="10" t="inlineStr"/>
      <c r="AD4" s="10" t="inlineStr"/>
      <c r="AE4" s="10" t="inlineStr"/>
      <c r="AF4" s="10" t="inlineStr"/>
      <c r="AG4" s="6" t="inlineStr">
        <is>
          <t>The current Singapore haze. October 2026 joins the history in November; the card should cover Sep-Oct. Peak cell is in Central Kalimantan.</t>
        </is>
      </c>
    </row>
    <row r="5">
      <c r="A5" s="6" t="n">
        <v>4</v>
      </c>
      <c r="B5" s="6" t="inlineStr">
        <is>
          <t>Proposed</t>
        </is>
      </c>
      <c r="C5" s="6" t="inlineStr">
        <is>
          <t>canada-2025</t>
        </is>
      </c>
      <c r="D5" s="6" t="inlineStr">
        <is>
          <t>Manitoba and Saskatchewan fires, June 2025</t>
        </is>
      </c>
      <c r="E5" s="6" t="inlineStr">
        <is>
          <t>Wildfire</t>
        </is>
      </c>
      <c r="F5" s="11" t="inlineStr">
        <is>
          <t>Uncommon</t>
        </is>
      </c>
      <c r="G5" s="6" t="inlineStr">
        <is>
          <t>Second big Canadian season in three years; 3.4x usual.</t>
        </is>
      </c>
      <c r="H5" s="6" t="inlineStr">
        <is>
          <t>PM2.5</t>
        </is>
      </c>
      <c r="I5" s="6" t="inlineStr">
        <is>
          <t>2025-06</t>
        </is>
      </c>
      <c r="J5" s="6" t="inlineStr">
        <is>
          <t>Manitoba, Saskatchewan, northern US plains</t>
        </is>
      </c>
      <c r="K5" s="6" t="inlineStr">
        <is>
          <t>-110, -85, 48, 62</t>
        </is>
      </c>
      <c r="L5" s="8" t="n">
        <v>69.59999999999999</v>
      </c>
      <c r="M5" s="8" t="inlineStr">
        <is>
          <t>55.6, -100.8</t>
        </is>
      </c>
      <c r="N5" s="8" t="n">
        <v>18.1</v>
      </c>
      <c r="O5" s="8" t="n">
        <v>5.3</v>
      </c>
      <c r="P5" s="9">
        <f>IFERROR(N5/O5,"")</f>
        <v/>
      </c>
      <c r="Q5" s="8" t="n">
        <v>69.59999999999999</v>
      </c>
      <c r="R5" s="9">
        <f>Q5/WHO_PM25</f>
        <v/>
      </c>
      <c r="S5" s="8" t="n">
        <v>18.1</v>
      </c>
      <c r="T5" s="9">
        <f>S5/WHO_PM25</f>
        <v/>
      </c>
      <c r="U5" s="8" t="n">
        <v>2370</v>
      </c>
      <c r="V5" s="8" t="inlineStr">
        <is>
          <t>2023-06: 16.2  2024-06: 7.3  2025-06: 18.1  2026-06: 6.7</t>
        </is>
      </c>
      <c r="W5" s="6" t="inlineStr">
        <is>
          <t>Boreal forest fires in Manitoba and Saskatchewan after a dry spring; tens of thousands evacuated in late May.</t>
        </is>
      </c>
      <c r="X5" s="6" t="inlineStr">
        <is>
          <t>Draft: that 2023 was a one-off.</t>
        </is>
      </c>
      <c r="Y5" s="10" t="inlineStr"/>
      <c r="Z5" s="10" t="inlineStr"/>
      <c r="AA5" s="10" t="inlineStr"/>
      <c r="AB5" s="10" t="inlineStr"/>
      <c r="AC5" s="10" t="inlineStr"/>
      <c r="AD5" s="10" t="inlineStr"/>
      <c r="AE5" s="10" t="inlineStr"/>
      <c r="AF5" s="10" t="inlineStr"/>
      <c r="AG5" s="6" t="inlineStr">
        <is>
          <t>Same region as the NWT alternate but a different year, so no footprint clash.</t>
        </is>
      </c>
    </row>
    <row r="6">
      <c r="A6" s="6" t="n">
        <v>5</v>
      </c>
      <c r="B6" s="6" t="inlineStr">
        <is>
          <t>Proposed</t>
        </is>
      </c>
      <c r="C6" s="6" t="inlineStr">
        <is>
          <t>yakutia-2024</t>
        </is>
      </c>
      <c r="D6" s="6" t="inlineStr">
        <is>
          <t>Siberian taiga fires, July 2024</t>
        </is>
      </c>
      <c r="E6" s="6" t="inlineStr">
        <is>
          <t>Wildfire</t>
        </is>
      </c>
      <c r="F6" s="11" t="inlineStr">
        <is>
          <t>Uncommon</t>
        </is>
      </c>
      <c r="G6" s="6" t="inlineStr">
        <is>
          <t>Yakutia burns big every few years; July 2024 is 6.3x usual.</t>
        </is>
      </c>
      <c r="H6" s="6" t="inlineStr">
        <is>
          <t>PM2.5</t>
        </is>
      </c>
      <c r="I6" s="6" t="inlineStr">
        <is>
          <t>2024-07</t>
        </is>
      </c>
      <c r="J6" s="6" t="inlineStr">
        <is>
          <t>Sakha Republic (Yakutia) and Zabaykalsky, Russia</t>
        </is>
      </c>
      <c r="K6" s="6" t="inlineStr">
        <is>
          <t>110, 150, 58, 72</t>
        </is>
      </c>
      <c r="L6" s="8" t="n">
        <v>246.5</v>
      </c>
      <c r="M6" s="8" t="inlineStr">
        <is>
          <t>58.8, 117.6</t>
        </is>
      </c>
      <c r="N6" s="8" t="n">
        <v>18.9</v>
      </c>
      <c r="O6" s="8" t="n">
        <v>3</v>
      </c>
      <c r="P6" s="9">
        <f>IFERROR(N6/O6,"")</f>
        <v/>
      </c>
      <c r="Q6" s="8" t="n">
        <v>246.5</v>
      </c>
      <c r="R6" s="9">
        <f>Q6/WHO_PM25</f>
        <v/>
      </c>
      <c r="S6" s="8" t="n">
        <v>18.9</v>
      </c>
      <c r="T6" s="9">
        <f>S6/WHO_PM25</f>
        <v/>
      </c>
      <c r="U6" s="8" t="n">
        <v>2879</v>
      </c>
      <c r="V6" s="8" t="inlineStr">
        <is>
          <t>2023-07: 10.4  2024-07: 18.9  2025-07: 5.9  2026-07: 5.6</t>
        </is>
      </c>
      <c r="W6" s="6" t="inlineStr">
        <is>
          <t>Taiga and peat fires in a hot, dry summer, from lightning and human ignitions; remote and largely left to burn.</t>
        </is>
      </c>
      <c r="X6" s="6" t="inlineStr">
        <is>
          <t>Draft: that the Arctic and Siberia are too cold to burn.</t>
        </is>
      </c>
      <c r="Y6" s="10" t="inlineStr"/>
      <c r="Z6" s="10" t="inlineStr"/>
      <c r="AA6" s="10" t="inlineStr"/>
      <c r="AB6" s="10" t="inlineStr"/>
      <c r="AC6" s="10" t="inlineStr"/>
      <c r="AD6" s="10" t="inlineStr"/>
      <c r="AE6" s="10" t="inlineStr"/>
      <c r="AF6" s="10" t="inlineStr"/>
      <c r="AG6" s="6" t="inlineStr">
        <is>
          <t>Peak cell is in the south of the box (58.8N 117.6E); the footprint may need to shift south-west.</t>
        </is>
      </c>
    </row>
    <row r="7">
      <c r="A7" s="6" t="n">
        <v>6</v>
      </c>
      <c r="B7" s="6" t="inlineStr">
        <is>
          <t>Proposed</t>
        </is>
      </c>
      <c r="C7" s="6" t="inlineStr">
        <is>
          <t>athens-dust-2024</t>
        </is>
      </c>
      <c r="D7" s="6" t="inlineStr">
        <is>
          <t>Saharan dust over Greece, April 2024</t>
        </is>
      </c>
      <c r="E7" s="6" t="inlineStr">
        <is>
          <t>Dust storm</t>
        </is>
      </c>
      <c r="F7" s="11" t="inlineStr">
        <is>
          <t>Uncommon</t>
        </is>
      </c>
      <c r="G7" s="6" t="inlineStr">
        <is>
          <t>A strong spring episode; April 2024 is 1.6x the next-highest April (2026).</t>
        </is>
      </c>
      <c r="H7" s="6" t="inlineStr">
        <is>
          <t>Dust</t>
        </is>
      </c>
      <c r="I7" s="6" t="inlineStr">
        <is>
          <t>2024-04</t>
        </is>
      </c>
      <c r="J7" s="6" t="inlineStr">
        <is>
          <t>Greece, Crete, Libya coast</t>
        </is>
      </c>
      <c r="K7" s="6" t="inlineStr">
        <is>
          <t>19, 30, 34, 42</t>
        </is>
      </c>
      <c r="L7" s="8" t="n">
        <v>41.6</v>
      </c>
      <c r="M7" s="8" t="inlineStr">
        <is>
          <t>34.0, 19.6</t>
        </is>
      </c>
      <c r="N7" s="8" t="n">
        <v>20.2</v>
      </c>
      <c r="O7" s="8" t="n">
        <v>7.1</v>
      </c>
      <c r="P7" s="9">
        <f>IFERROR(N7/O7,"")</f>
        <v/>
      </c>
      <c r="Q7" s="8" t="n">
        <v>32.5</v>
      </c>
      <c r="R7" s="9">
        <f>Q7/WHO_PM25</f>
        <v/>
      </c>
      <c r="S7" s="8" t="n">
        <v>13.8</v>
      </c>
      <c r="T7" s="9">
        <f>S7/WHO_PM25</f>
        <v/>
      </c>
      <c r="U7" s="8" t="n">
        <v>841</v>
      </c>
      <c r="V7" s="8" t="inlineStr">
        <is>
          <t>2023-04: 8.6  2024-04: 20.2  2025-04: 8.7  2026-04: 12.4</t>
        </is>
      </c>
      <c r="W7" s="6" t="inlineStr">
        <is>
          <t>Southerly winds ahead of a low-pressure system lifted dust from Libya and carried it across the Mediterranean; Athens turned orange on 23 April.</t>
        </is>
      </c>
      <c r="X7" s="6" t="inlineStr">
        <is>
          <t>That the orange sky was wildfire smoke.</t>
        </is>
      </c>
      <c r="Y7" s="10" t="inlineStr"/>
      <c r="Z7" s="10" t="inlineStr"/>
      <c r="AA7" s="10" t="inlineStr"/>
      <c r="AB7" s="10" t="inlineStr"/>
      <c r="AC7" s="10" t="inlineStr"/>
      <c r="AD7" s="10" t="inlineStr"/>
      <c r="AE7" s="10" t="inlineStr"/>
      <c r="AF7" s="10" t="inlineStr"/>
      <c r="AG7" s="6" t="inlineStr">
        <is>
          <t>Peak cell is over the sea south of Greece. East-Med dust (Mar 2025) is a near-duplicate; pick one.</t>
        </is>
      </c>
    </row>
    <row r="8">
      <c r="A8" s="6" t="n">
        <v>7</v>
      </c>
      <c r="B8" s="6" t="inlineStr">
        <is>
          <t>Proposed</t>
        </is>
      </c>
      <c r="C8" s="6" t="inlineStr">
        <is>
          <t>iberia-2025</t>
        </is>
      </c>
      <c r="D8" s="6" t="inlineStr">
        <is>
          <t>Spanish and Portuguese fires, August 2025</t>
        </is>
      </c>
      <c r="E8" s="6" t="inlineStr">
        <is>
          <t>Wildfire</t>
        </is>
      </c>
      <c r="F8" s="11" t="inlineStr">
        <is>
          <t>Uncommon</t>
        </is>
      </c>
      <c r="G8" s="6" t="inlineStr">
        <is>
          <t>Spain's worst fire season in decades (verify the figure); 1.9x usual over a smaller area.</t>
        </is>
      </c>
      <c r="H8" s="6" t="inlineStr">
        <is>
          <t>PM2.5</t>
        </is>
      </c>
      <c r="I8" s="6" t="inlineStr">
        <is>
          <t>2025-08</t>
        </is>
      </c>
      <c r="J8" s="6" t="inlineStr">
        <is>
          <t>Galicia, Castilla y Leon, northern Portugal</t>
        </is>
      </c>
      <c r="K8" s="6" t="inlineStr">
        <is>
          <t>-10, 0, 38, 44</t>
        </is>
      </c>
      <c r="L8" s="8" t="n">
        <v>52.7</v>
      </c>
      <c r="M8" s="8" t="inlineStr">
        <is>
          <t>42.4, -6.8</t>
        </is>
      </c>
      <c r="N8" s="8" t="n">
        <v>13.6</v>
      </c>
      <c r="O8" s="8" t="n">
        <v>7.1</v>
      </c>
      <c r="P8" s="9">
        <f>IFERROR(N8/O8,"")</f>
        <v/>
      </c>
      <c r="Q8" s="8" t="n">
        <v>52.7</v>
      </c>
      <c r="R8" s="9">
        <f>Q8/WHO_PM25</f>
        <v/>
      </c>
      <c r="S8" s="8" t="n">
        <v>13.6</v>
      </c>
      <c r="T8" s="9">
        <f>S8/WHO_PM25</f>
        <v/>
      </c>
      <c r="U8" s="8" t="n">
        <v>239</v>
      </c>
      <c r="V8" s="8" t="inlineStr">
        <is>
          <t>2022-08: 8.9  2023-08: 7.2  2024-08: 8.9  2025-08: 13.6  2026-08: 9.4</t>
        </is>
      </c>
      <c r="W8" s="6" t="inlineStr">
        <is>
          <t>Large fires during an August heatwave in dry, unmanaged rural land with heavy fuel build-up.</t>
        </is>
      </c>
      <c r="X8" s="6" t="inlineStr">
        <is>
          <t>Draft: that arson alone explains it.</t>
        </is>
      </c>
      <c r="Y8" s="10" t="inlineStr"/>
      <c r="Z8" s="10" t="inlineStr"/>
      <c r="AA8" s="10" t="inlineStr"/>
      <c r="AB8" s="10" t="inlineStr"/>
      <c r="AC8" s="10" t="inlineStr"/>
      <c r="AD8" s="10" t="inlineStr"/>
      <c r="AE8" s="10" t="inlineStr"/>
      <c r="AF8" s="10" t="inlineStr"/>
      <c r="AG8" s="6" t="inlineStr">
        <is>
          <t>Smallest footprint of the proposed cards (239k km2). Could be Rare if the "worst in decades" figure holds.</t>
        </is>
      </c>
    </row>
    <row r="9">
      <c r="A9" s="6" t="n">
        <v>8</v>
      </c>
      <c r="B9" s="6" t="inlineStr">
        <is>
          <t>Proposed</t>
        </is>
      </c>
      <c r="C9" s="6" t="inlineStr">
        <is>
          <t>igp-november</t>
        </is>
      </c>
      <c r="D9" s="6" t="inlineStr">
        <is>
          <t>North Indian and Pakistani November smog</t>
        </is>
      </c>
      <c r="E9" s="6" t="inlineStr">
        <is>
          <t>Crop burning</t>
        </is>
      </c>
      <c r="F9" s="12" t="inlineStr">
        <is>
          <t>Common</t>
        </is>
      </c>
      <c r="G9" s="6" t="inlineStr">
        <is>
          <t>Every November; 2024 was the worst of the four years in the record.</t>
        </is>
      </c>
      <c r="H9" s="6" t="inlineStr">
        <is>
          <t>PM2.5</t>
        </is>
      </c>
      <c r="I9" s="6" t="inlineStr">
        <is>
          <t>2024-11</t>
        </is>
      </c>
      <c r="J9" s="6" t="inlineStr">
        <is>
          <t>Punjab (India and Pakistan), Haryana, Delhi, Gangetic plain</t>
        </is>
      </c>
      <c r="K9" s="6" t="inlineStr">
        <is>
          <t>70, 90, 22, 33</t>
        </is>
      </c>
      <c r="L9" s="8" t="n">
        <v>136.8</v>
      </c>
      <c r="M9" s="8" t="inlineStr">
        <is>
          <t>31.6, 73.2</t>
        </is>
      </c>
      <c r="N9" s="8" t="n">
        <v>51.4</v>
      </c>
      <c r="O9" s="8" t="n">
        <v>27.2</v>
      </c>
      <c r="P9" s="9">
        <f>IFERROR(N9/O9,"")</f>
        <v/>
      </c>
      <c r="Q9" s="8" t="n">
        <v>136.8</v>
      </c>
      <c r="R9" s="9">
        <f>Q9/WHO_PM25</f>
        <v/>
      </c>
      <c r="S9" s="8" t="n">
        <v>51.4</v>
      </c>
      <c r="T9" s="9">
        <f>S9/WHO_PM25</f>
        <v/>
      </c>
      <c r="U9" s="8" t="n">
        <v>906</v>
      </c>
      <c r="V9" s="8" t="inlineStr">
        <is>
          <t>2022-11: 45.6  2023-11: 40.6  2024-11: 51.4  2025-11: 45.3</t>
        </is>
      </c>
      <c r="W9" s="6" t="inlineStr">
        <is>
          <t>Rice-stubble burning in Punjab and Haryana (India) and Pakistani Punjab, trapped by cold, still winter air, on top of year-round local sources (vehicles, industry, dust, household fuel).</t>
        </is>
      </c>
      <c r="X9" s="6" t="inlineStr">
        <is>
          <t>That Diwali fireworks cause it. Fireworks add a one- or two-night spike; the month-long haze is mostly crop smoke and trapped local pollution.</t>
        </is>
      </c>
      <c r="Y9" s="10" t="inlineStr"/>
      <c r="Z9" s="10" t="inlineStr"/>
      <c r="AA9" s="10" t="inlineStr"/>
      <c r="AB9" s="10" t="inlineStr"/>
      <c r="AC9" s="10" t="inlineStr"/>
      <c r="AD9" s="10" t="inlineStr"/>
      <c r="AE9" s="10" t="inlineStr"/>
      <c r="AF9" s="10" t="inlineStr"/>
      <c r="AG9" s="6" t="inlineStr">
        <is>
          <t>Peak cell (31.6N 73.2E) is in Pakistani Punjab, not Delhi: a good clue. Lahore set records in Nov 2024. The stubble share varies day to day; word answers carefully and cite.</t>
        </is>
      </c>
    </row>
    <row r="10">
      <c r="A10" s="6" t="n">
        <v>9</v>
      </c>
      <c r="B10" s="6" t="inlineStr">
        <is>
          <t>Proposed</t>
        </is>
      </c>
      <c r="C10" s="6" t="inlineStr">
        <is>
          <t>harmattan</t>
        </is>
      </c>
      <c r="D10" s="6" t="inlineStr">
        <is>
          <t>Harmattan dust, January 2025</t>
        </is>
      </c>
      <c r="E10" s="6" t="inlineStr">
        <is>
          <t>Dust storm</t>
        </is>
      </c>
      <c r="F10" s="12" t="inlineStr">
        <is>
          <t>Common</t>
        </is>
      </c>
      <c r="G10" s="6" t="inlineStr">
        <is>
          <t>Every dry season (Nov-Mar).</t>
        </is>
      </c>
      <c r="H10" s="6" t="inlineStr">
        <is>
          <t>Dust</t>
        </is>
      </c>
      <c r="I10" s="6" t="inlineStr">
        <is>
          <t>2025-01</t>
        </is>
      </c>
      <c r="J10" s="6" t="inlineStr">
        <is>
          <t>Niger, Nigeria, Chad, West Africa</t>
        </is>
      </c>
      <c r="K10" s="6" t="inlineStr">
        <is>
          <t>-17, 15, 5, 15</t>
        </is>
      </c>
      <c r="L10" s="8" t="n">
        <v>4688</v>
      </c>
      <c r="M10" s="8" t="inlineStr">
        <is>
          <t>11.6, 7.6</t>
        </is>
      </c>
      <c r="N10" s="8" t="n">
        <v>260.5</v>
      </c>
      <c r="O10" s="8" t="n">
        <v>76.2</v>
      </c>
      <c r="P10" s="9">
        <f>IFERROR(N10/O10,"")</f>
        <v/>
      </c>
      <c r="Q10" s="8" t="n">
        <v>322.5</v>
      </c>
      <c r="R10" s="9">
        <f>Q10/WHO_PM25</f>
        <v/>
      </c>
      <c r="S10" s="8" t="n">
        <v>47.4</v>
      </c>
      <c r="T10" s="9">
        <f>S10/WHO_PM25</f>
        <v/>
      </c>
      <c r="U10" s="8" t="n">
        <v>3145</v>
      </c>
      <c r="V10" s="8" t="inlineStr">
        <is>
          <t>2023-01: 91.3  2024-01: 306.5  2025-01: 260.5  2026-01: 225.2</t>
        </is>
      </c>
      <c r="W10" s="6" t="inlineStr">
        <is>
          <t>The dry north-east Harmattan wind carries dust from the Sahara, including the Bodele Depression in Chad, the largest dust source on Earth.</t>
        </is>
      </c>
      <c r="X10" s="6" t="inlineStr">
        <is>
          <t>That the haze is fog or city smog.</t>
        </is>
      </c>
      <c r="Y10" s="10" t="inlineStr"/>
      <c r="Z10" s="10" t="inlineStr"/>
      <c r="AA10" s="10" t="inlineStr"/>
      <c r="AB10" s="10" t="inlineStr"/>
      <c r="AC10" s="10" t="inlineStr"/>
      <c r="AD10" s="10" t="inlineStr"/>
      <c r="AE10" s="10" t="inlineStr"/>
      <c r="AF10" s="10" t="inlineStr"/>
      <c r="AG10" s="6" t="inlineStr">
        <is>
          <t>Jan 2024 and Feb 2024 are even higher; Jan 2025 chosen to avoid clashing with the Sahel burning card (Dec 2023). Dust peaks are in the thousands of ug/m3 because it is coarse mineral dust.</t>
        </is>
      </c>
    </row>
    <row r="11">
      <c r="A11" s="6" t="n">
        <v>10</v>
      </c>
      <c r="B11" s="6" t="inlineStr">
        <is>
          <t>Proposed</t>
        </is>
      </c>
      <c r="C11" s="6" t="inlineStr">
        <is>
          <t>sahel-burning</t>
        </is>
      </c>
      <c r="D11" s="6" t="inlineStr">
        <is>
          <t>West African savanna burning, December 2023</t>
        </is>
      </c>
      <c r="E11" s="6" t="inlineStr">
        <is>
          <t>Savanna burning</t>
        </is>
      </c>
      <c r="F11" s="12" t="inlineStr">
        <is>
          <t>Common</t>
        </is>
      </c>
      <c r="G11" s="6" t="inlineStr">
        <is>
          <t>Every dry season (Dec-Feb).</t>
        </is>
      </c>
      <c r="H11" s="6" t="inlineStr">
        <is>
          <t>PM2.5</t>
        </is>
      </c>
      <c r="I11" s="6" t="inlineStr">
        <is>
          <t>2023-12</t>
        </is>
      </c>
      <c r="J11" s="6" t="inlineStr">
        <is>
          <t>Nigeria, Cameroon, Central African Republic, Sudan belt</t>
        </is>
      </c>
      <c r="K11" s="6" t="inlineStr">
        <is>
          <t>-10, 30, 4, 12</t>
        </is>
      </c>
      <c r="L11" s="8" t="n">
        <v>309</v>
      </c>
      <c r="M11" s="8" t="inlineStr">
        <is>
          <t>12.0, 6.0</t>
        </is>
      </c>
      <c r="N11" s="8" t="n">
        <v>45.4</v>
      </c>
      <c r="O11" s="8" t="n">
        <v>16.8</v>
      </c>
      <c r="P11" s="9">
        <f>IFERROR(N11/O11,"")</f>
        <v/>
      </c>
      <c r="Q11" s="8" t="n">
        <v>309</v>
      </c>
      <c r="R11" s="9">
        <f>Q11/WHO_PM25</f>
        <v/>
      </c>
      <c r="S11" s="8" t="n">
        <v>45.4</v>
      </c>
      <c r="T11" s="9">
        <f>S11/WHO_PM25</f>
        <v/>
      </c>
      <c r="U11" s="8" t="n">
        <v>2569</v>
      </c>
      <c r="V11" s="8" t="inlineStr">
        <is>
          <t>2022-12: 23.7  2023-12: 45.4  2024-12: 43.4  2025-12: 29.7</t>
        </is>
      </c>
      <c r="W11" s="6" t="inlineStr">
        <is>
          <t>Farmers and herders burn grassland and crop residue in the dry season to clear fields and renew pasture. Africa has most of the world's burned area.</t>
        </is>
      </c>
      <c r="X11" s="6" t="inlineStr">
        <is>
          <t>That these are out-of-control wildfires or deforestation.</t>
        </is>
      </c>
      <c r="Y11" s="10" t="inlineStr"/>
      <c r="Z11" s="10" t="inlineStr"/>
      <c r="AA11" s="10" t="inlineStr"/>
      <c r="AB11" s="10" t="inlineStr"/>
      <c r="AC11" s="10" t="inlineStr"/>
      <c r="AD11" s="10" t="inlineStr"/>
      <c r="AE11" s="10" t="inlineStr"/>
      <c r="AF11" s="10" t="inlineStr"/>
      <c r="AG11" s="6" t="inlineStr">
        <is>
          <t>Same region as the Harmattan card; months kept apart (Dec 2023 vs Jan 2025).</t>
        </is>
      </c>
    </row>
    <row r="12">
      <c r="A12" s="6" t="n">
        <v>11</v>
      </c>
      <c r="B12" s="6" t="inlineStr">
        <is>
          <t>Proposed</t>
        </is>
      </c>
      <c r="C12" s="6" t="inlineStr">
        <is>
          <t>saharan-dust-caribbean</t>
        </is>
      </c>
      <c r="D12" s="6" t="inlineStr">
        <is>
          <t>Saharan dust over the Caribbean, June 2025</t>
        </is>
      </c>
      <c r="E12" s="6" t="inlineStr">
        <is>
          <t>Dust storm</t>
        </is>
      </c>
      <c r="F12" s="12" t="inlineStr">
        <is>
          <t>Common</t>
        </is>
      </c>
      <c r="G12" s="6" t="inlineStr">
        <is>
          <t>Every summer.</t>
        </is>
      </c>
      <c r="H12" s="6" t="inlineStr">
        <is>
          <t>Dust</t>
        </is>
      </c>
      <c r="I12" s="6" t="inlineStr">
        <is>
          <t>2025-06</t>
        </is>
      </c>
      <c r="J12" s="6" t="inlineStr">
        <is>
          <t>Tropical Atlantic, Caribbean, Gulf of Mexico</t>
        </is>
      </c>
      <c r="K12" s="6" t="inlineStr">
        <is>
          <t>-85, -55, 10, 25</t>
        </is>
      </c>
      <c r="L12" s="8" t="n">
        <v>37.2</v>
      </c>
      <c r="M12" s="8" t="inlineStr">
        <is>
          <t>11.6, -55.6</t>
        </is>
      </c>
      <c r="N12" s="8" t="n">
        <v>19</v>
      </c>
      <c r="O12" s="8" t="n">
        <v>2.2</v>
      </c>
      <c r="P12" s="9">
        <f>IFERROR(N12/O12,"")</f>
        <v/>
      </c>
      <c r="Q12" s="8" t="n">
        <v>36.1</v>
      </c>
      <c r="R12" s="9">
        <f>Q12/WHO_PM25</f>
        <v/>
      </c>
      <c r="S12" s="8" t="n">
        <v>13.9</v>
      </c>
      <c r="T12" s="9">
        <f>S12/WHO_PM25</f>
        <v/>
      </c>
      <c r="U12" s="8" t="n">
        <v>5232</v>
      </c>
      <c r="V12" s="8" t="inlineStr">
        <is>
          <t>2023-06: 11.1  2024-06: 15.0  2025-06: 19.0  2026-06: 12.6</t>
        </is>
      </c>
      <c r="W12" s="6" t="inlineStr">
        <is>
          <t>The Saharan Air Layer carries dust about 8,000 km across the Atlantic each summer.</t>
        </is>
      </c>
      <c r="X12" s="6" t="inlineStr">
        <is>
          <t>That the haze is local pollution, or that desert dust stays in the desert.</t>
        </is>
      </c>
      <c r="Y12" s="10" t="inlineStr"/>
      <c r="Z12" s="10" t="inlineStr"/>
      <c r="AA12" s="10" t="inlineStr"/>
      <c r="AB12" s="10" t="inlineStr"/>
      <c r="AC12" s="10" t="inlineStr"/>
      <c r="AD12" s="10" t="inlineStr"/>
      <c r="AE12" s="10" t="inlineStr"/>
      <c r="AF12" s="10" t="inlineStr"/>
      <c r="AG12" s="6" t="inlineStr">
        <is>
          <t>Peak sits at the east edge of the box: the footprint must extend east across the Atlantic toward Africa.</t>
        </is>
      </c>
    </row>
    <row r="13">
      <c r="A13" s="6" t="n">
        <v>12</v>
      </c>
      <c r="B13" s="6" t="inlineStr">
        <is>
          <t>Proposed</t>
        </is>
      </c>
      <c r="C13" s="6" t="inlineStr">
        <is>
          <t>central-africa-burning</t>
        </is>
      </c>
      <c r="D13" s="6" t="inlineStr">
        <is>
          <t>Central African burning season, July 2024</t>
        </is>
      </c>
      <c r="E13" s="6" t="inlineStr">
        <is>
          <t>Savanna burning</t>
        </is>
      </c>
      <c r="F13" s="12" t="inlineStr">
        <is>
          <t>Common</t>
        </is>
      </c>
      <c r="G13" s="6" t="inlineStr">
        <is>
          <t>Every dry season (Jun-Sep).</t>
        </is>
      </c>
      <c r="H13" s="6" t="inlineStr">
        <is>
          <t>PM2.5</t>
        </is>
      </c>
      <c r="I13" s="6" t="inlineStr">
        <is>
          <t>2024-07</t>
        </is>
      </c>
      <c r="J13" s="6" t="inlineStr">
        <is>
          <t>Angola, DR Congo, Zambia</t>
        </is>
      </c>
      <c r="K13" s="6" t="inlineStr">
        <is>
          <t>12, 35, -15, 0</t>
        </is>
      </c>
      <c r="L13" s="8" t="n">
        <v>62</v>
      </c>
      <c r="M13" s="8" t="inlineStr">
        <is>
          <t>-6.4, 21.6</t>
        </is>
      </c>
      <c r="N13" s="8" t="n">
        <v>26.1</v>
      </c>
      <c r="O13" s="8" t="n">
        <v>12.9</v>
      </c>
      <c r="P13" s="9">
        <f>IFERROR(N13/O13,"")</f>
        <v/>
      </c>
      <c r="Q13" s="8" t="n">
        <v>62</v>
      </c>
      <c r="R13" s="9">
        <f>Q13/WHO_PM25</f>
        <v/>
      </c>
      <c r="S13" s="8" t="n">
        <v>26.1</v>
      </c>
      <c r="T13" s="9">
        <f>S13/WHO_PM25</f>
        <v/>
      </c>
      <c r="U13" s="8" t="n">
        <v>2022</v>
      </c>
      <c r="V13" s="8" t="inlineStr">
        <is>
          <t>2023-07: 19.7  2024-07: 26.1  2025-07: 22.4  2026-07: 28.6</t>
        </is>
      </c>
      <c r="W13" s="6" t="inlineStr">
        <is>
          <t>Seasonal burning of savanna, cropland and woodland mosaic in the southern dry season, the densest fire activity on Earth.</t>
        </is>
      </c>
      <c r="X13" s="6" t="inlineStr">
        <is>
          <t>That the Congo rainforest is burning.</t>
        </is>
      </c>
      <c r="Y13" s="10" t="inlineStr"/>
      <c r="Z13" s="10" t="inlineStr"/>
      <c r="AA13" s="10" t="inlineStr"/>
      <c r="AB13" s="10" t="inlineStr"/>
      <c r="AC13" s="10" t="inlineStr"/>
      <c r="AD13" s="10" t="inlineStr"/>
      <c r="AE13" s="10" t="inlineStr"/>
      <c r="AF13" s="10" t="inlineStr"/>
      <c r="AG13" s="6" t="inlineStr">
        <is>
          <t>July 2026 is slightly higher (28.6); either works.</t>
        </is>
      </c>
    </row>
    <row r="14">
      <c r="A14" s="6" t="n">
        <v>13</v>
      </c>
      <c r="B14" s="6" t="inlineStr">
        <is>
          <t>Proposed</t>
        </is>
      </c>
      <c r="C14" s="6" t="inlineStr">
        <is>
          <t>mainland-sea-burning</t>
        </is>
      </c>
      <c r="D14" s="6" t="inlineStr">
        <is>
          <t>Mainland Southeast Asian burning season, March 2023</t>
        </is>
      </c>
      <c r="E14" s="6" t="inlineStr">
        <is>
          <t>Crop burning</t>
        </is>
      </c>
      <c r="F14" s="12" t="inlineStr">
        <is>
          <t>Common</t>
        </is>
      </c>
      <c r="G14" s="6" t="inlineStr">
        <is>
          <t>Every March-April.</t>
        </is>
      </c>
      <c r="H14" s="6" t="inlineStr">
        <is>
          <t>PM2.5</t>
        </is>
      </c>
      <c r="I14" s="6" t="inlineStr">
        <is>
          <t>2023-03</t>
        </is>
      </c>
      <c r="J14" s="6" t="inlineStr">
        <is>
          <t>Northern Thailand, Laos, Myanmar</t>
        </is>
      </c>
      <c r="K14" s="6" t="inlineStr">
        <is>
          <t>95, 107, 15, 23</t>
        </is>
      </c>
      <c r="L14" s="8" t="n">
        <v>104.2</v>
      </c>
      <c r="M14" s="8" t="inlineStr">
        <is>
          <t>18.4, 102.0</t>
        </is>
      </c>
      <c r="N14" s="8" t="n">
        <v>37.3</v>
      </c>
      <c r="O14" s="8" t="n">
        <v>12.7</v>
      </c>
      <c r="P14" s="9">
        <f>IFERROR(N14/O14,"")</f>
        <v/>
      </c>
      <c r="Q14" s="8" t="n">
        <v>104.2</v>
      </c>
      <c r="R14" s="9">
        <f>Q14/WHO_PM25</f>
        <v/>
      </c>
      <c r="S14" s="8" t="n">
        <v>37.3</v>
      </c>
      <c r="T14" s="9">
        <f>S14/WHO_PM25</f>
        <v/>
      </c>
      <c r="U14" s="8" t="n">
        <v>913</v>
      </c>
      <c r="V14" s="8" t="inlineStr">
        <is>
          <t>2023-03: 37.3  2024-03: 26.3  2025-03: 39.1  2026-03: 32.8</t>
        </is>
      </c>
      <c r="W14" s="6" t="inlineStr">
        <is>
          <t>Burning of maize residue and forest clearing in the uplands of northern Thailand, Laos and Myanmar, trapped in valleys in the dry season.</t>
        </is>
      </c>
      <c r="X14" s="6" t="inlineStr">
        <is>
          <t>That Bangkok traffic causes Chiang Mai's haze.</t>
        </is>
      </c>
      <c r="Y14" s="10" t="inlineStr"/>
      <c r="Z14" s="10" t="inlineStr"/>
      <c r="AA14" s="10" t="inlineStr"/>
      <c r="AB14" s="10" t="inlineStr"/>
      <c r="AC14" s="10" t="inlineStr"/>
      <c r="AD14" s="10" t="inlineStr"/>
      <c r="AE14" s="10" t="inlineStr"/>
      <c r="AF14" s="10" t="inlineStr"/>
      <c r="AG14" s="6" t="inlineStr">
        <is>
          <t>Peak cell is in Laos (18.4N 102E).</t>
        </is>
      </c>
    </row>
    <row r="15">
      <c r="A15" s="6" t="n">
        <v>14</v>
      </c>
      <c r="B15" s="6" t="inlineStr">
        <is>
          <t>Proposed</t>
        </is>
      </c>
      <c r="C15" s="6" t="inlineStr">
        <is>
          <t>mexico-burning</t>
        </is>
      </c>
      <c r="D15" s="6" t="inlineStr">
        <is>
          <t>Mexican and Central American burning season, May 2024</t>
        </is>
      </c>
      <c r="E15" s="6" t="inlineStr">
        <is>
          <t>Crop burning</t>
        </is>
      </c>
      <c r="F15" s="12" t="inlineStr">
        <is>
          <t>Common</t>
        </is>
      </c>
      <c r="G15" s="6" t="inlineStr">
        <is>
          <t>Every April-May.</t>
        </is>
      </c>
      <c r="H15" s="6" t="inlineStr">
        <is>
          <t>PM2.5</t>
        </is>
      </c>
      <c r="I15" s="6" t="inlineStr">
        <is>
          <t>2024-05</t>
        </is>
      </c>
      <c r="J15" s="6" t="inlineStr">
        <is>
          <t>Southern Mexico, Guatemala, Yucatan</t>
        </is>
      </c>
      <c r="K15" s="6" t="inlineStr">
        <is>
          <t>-100, -86, 14, 22</t>
        </is>
      </c>
      <c r="L15" s="8" t="n">
        <v>50.8</v>
      </c>
      <c r="M15" s="8" t="inlineStr">
        <is>
          <t>17.6, -93.2</t>
        </is>
      </c>
      <c r="N15" s="8" t="n">
        <v>20.5</v>
      </c>
      <c r="O15" s="8" t="n">
        <v>10.6</v>
      </c>
      <c r="P15" s="9">
        <f>IFERROR(N15/O15,"")</f>
        <v/>
      </c>
      <c r="Q15" s="8" t="n">
        <v>50.8</v>
      </c>
      <c r="R15" s="9">
        <f>Q15/WHO_PM25</f>
        <v/>
      </c>
      <c r="S15" s="8" t="n">
        <v>20.5</v>
      </c>
      <c r="T15" s="9">
        <f>S15/WHO_PM25</f>
        <v/>
      </c>
      <c r="U15" s="8" t="n">
        <v>643</v>
      </c>
      <c r="V15" s="8" t="inlineStr">
        <is>
          <t>2023-05: 17.5  2024-05: 20.5  2025-05: 15.0  2026-05: 15.6</t>
        </is>
      </c>
      <c r="W15" s="6" t="inlineStr">
        <is>
          <t>Agricultural burning and forest fires at the end of the dry season; 2024 was a hot, dry year in Mexico.</t>
        </is>
      </c>
      <c r="X15" s="6" t="inlineStr">
        <is>
          <t>Draft: that Mexico City traffic is the source.</t>
        </is>
      </c>
      <c r="Y15" s="10" t="inlineStr"/>
      <c r="Z15" s="10" t="inlineStr"/>
      <c r="AA15" s="10" t="inlineStr"/>
      <c r="AB15" s="10" t="inlineStr"/>
      <c r="AC15" s="10" t="inlineStr"/>
      <c r="AD15" s="10" t="inlineStr"/>
      <c r="AE15" s="10" t="inlineStr"/>
      <c r="AF15" s="10" t="inlineStr"/>
      <c r="AG15" s="6" t="inlineStr">
        <is>
          <t>Weaker than the others (1.9x).</t>
        </is>
      </c>
    </row>
    <row r="16">
      <c r="A16" s="6" t="n">
        <v>15</v>
      </c>
      <c r="B16" s="6" t="inlineStr">
        <is>
          <t>Proposed</t>
        </is>
      </c>
      <c r="C16" s="6" t="inlineStr">
        <is>
          <t>gobi-dust</t>
        </is>
      </c>
      <c r="D16" s="6" t="inlineStr">
        <is>
          <t>Gobi spring dust, April 2025</t>
        </is>
      </c>
      <c r="E16" s="6" t="inlineStr">
        <is>
          <t>Dust storm</t>
        </is>
      </c>
      <c r="F16" s="12" t="inlineStr">
        <is>
          <t>Common</t>
        </is>
      </c>
      <c r="G16" s="6" t="inlineStr">
        <is>
          <t>Every spring.</t>
        </is>
      </c>
      <c r="H16" s="6" t="inlineStr">
        <is>
          <t>Dust</t>
        </is>
      </c>
      <c r="I16" s="6" t="inlineStr">
        <is>
          <t>2025-04</t>
        </is>
      </c>
      <c r="J16" s="6" t="inlineStr">
        <is>
          <t>Inner Mongolia, northern China, Korea</t>
        </is>
      </c>
      <c r="K16" s="6" t="inlineStr">
        <is>
          <t>105, 130, 33, 45</t>
        </is>
      </c>
      <c r="L16" s="8" t="n">
        <v>2013</v>
      </c>
      <c r="M16" s="8" t="inlineStr">
        <is>
          <t>34.8, 110.8</t>
        </is>
      </c>
      <c r="N16" s="8" t="n">
        <v>142.3</v>
      </c>
      <c r="O16" s="8" t="n">
        <v>33.7</v>
      </c>
      <c r="P16" s="9">
        <f>IFERROR(N16/O16,"")</f>
        <v/>
      </c>
      <c r="Q16" s="8" t="n">
        <v>115.7</v>
      </c>
      <c r="R16" s="9">
        <f>Q16/WHO_PM25</f>
        <v/>
      </c>
      <c r="S16" s="8" t="n">
        <v>28.3</v>
      </c>
      <c r="T16" s="9">
        <f>S16/WHO_PM25</f>
        <v/>
      </c>
      <c r="U16" s="8" t="n">
        <v>2870</v>
      </c>
      <c r="V16" s="8" t="inlineStr">
        <is>
          <t>2023-04: 56.3  2024-04: 71.7  2025-04: 142.3  2026-04: 140.6</t>
        </is>
      </c>
      <c r="W16" s="6" t="inlineStr">
        <is>
          <t>Spring cold fronts lift dust from the Gobi and northern Chinese deserts; it reaches Beijing, Korea and Japan ("yellow dust").</t>
        </is>
      </c>
      <c r="X16" s="6" t="inlineStr">
        <is>
          <t>That it is industrial smog.</t>
        </is>
      </c>
      <c r="Y16" s="10" t="inlineStr"/>
      <c r="Z16" s="10" t="inlineStr"/>
      <c r="AA16" s="10" t="inlineStr"/>
      <c r="AB16" s="10" t="inlineStr"/>
      <c r="AC16" s="10" t="inlineStr"/>
      <c r="AD16" s="10" t="inlineStr"/>
      <c r="AE16" s="10" t="inlineStr"/>
      <c r="AF16" s="10" t="inlineStr"/>
      <c r="AG16" s="6" t="inlineStr">
        <is>
          <t>Peak cell (34.8N 110.8E) is on the Loess Plateau; check this is dust transport, not a model artefact.</t>
        </is>
      </c>
    </row>
    <row r="17">
      <c r="A17" s="13" t="n">
        <v>16</v>
      </c>
      <c r="B17" s="6" t="inlineStr">
        <is>
          <t>Maybe</t>
        </is>
      </c>
      <c r="C17" s="13" t="inlineStr">
        <is>
          <t>canada-nwt-2023</t>
        </is>
      </c>
      <c r="D17" s="13" t="inlineStr">
        <is>
          <t>Northwest Territories fires, August 2023</t>
        </is>
      </c>
      <c r="E17" s="6" t="inlineStr">
        <is>
          <t>Wildfire</t>
        </is>
      </c>
      <c r="F17" s="11" t="inlineStr">
        <is>
          <t>Uncommon</t>
        </is>
      </c>
      <c r="G17" s="6" t="inlineStr">
        <is>
          <t>Same record season as the June card.</t>
        </is>
      </c>
      <c r="H17" s="6" t="inlineStr">
        <is>
          <t>PM2.5</t>
        </is>
      </c>
      <c r="I17" s="6" t="inlineStr">
        <is>
          <t>2023-08</t>
        </is>
      </c>
      <c r="J17" s="6" t="inlineStr">
        <is>
          <t>Northwest Territories, British Columbia, Alberta</t>
        </is>
      </c>
      <c r="K17" s="6" t="inlineStr">
        <is>
          <t>-135, -100, 50, 68</t>
        </is>
      </c>
      <c r="L17" s="8" t="n">
        <v>258.2</v>
      </c>
      <c r="M17" s="8" t="inlineStr">
        <is>
          <t>60.4, -116.8</t>
        </is>
      </c>
      <c r="N17" s="8" t="n">
        <v>23.2</v>
      </c>
      <c r="O17" s="8" t="n">
        <v>4.4</v>
      </c>
      <c r="P17" s="9">
        <f>IFERROR(N17/O17,"")</f>
        <v/>
      </c>
      <c r="Q17" s="8" t="n">
        <v>258.2</v>
      </c>
      <c r="R17" s="9">
        <f>Q17/WHO_PM25</f>
        <v/>
      </c>
      <c r="S17" s="8" t="n">
        <v>23.2</v>
      </c>
      <c r="T17" s="9">
        <f>S17/WHO_PM25</f>
        <v/>
      </c>
      <c r="U17" s="8" t="n">
        <v>3449</v>
      </c>
      <c r="V17" s="8" t="inlineStr">
        <is>
          <t>2022-08: 5.2  2023-08: 23.2  2024-08: 15.7  2025-08: 11.9  2026-08: 9.3</t>
        </is>
      </c>
      <c r="W17" s="6" t="inlineStr">
        <is>
          <t>Boreal fires that forced the evacuation of Yellowknife.</t>
        </is>
      </c>
      <c r="X17" s="6" t="inlineStr"/>
      <c r="Y17" s="10" t="inlineStr"/>
      <c r="Z17" s="10" t="inlineStr"/>
      <c r="AA17" s="10" t="inlineStr"/>
      <c r="AB17" s="10" t="inlineStr"/>
      <c r="AC17" s="10" t="inlineStr"/>
      <c r="AD17" s="10" t="inlineStr"/>
      <c r="AE17" s="10" t="inlineStr"/>
      <c r="AF17" s="10" t="inlineStr"/>
      <c r="AG17" s="6" t="inlineStr">
        <is>
          <t>Strong (5.3x) but duplicates the 2023 season. Keep only if we want two cards from one year.</t>
        </is>
      </c>
    </row>
    <row r="18">
      <c r="A18" s="13" t="n">
        <v>17</v>
      </c>
      <c r="B18" s="6" t="inlineStr">
        <is>
          <t>Maybe</t>
        </is>
      </c>
      <c r="C18" s="13" t="inlineStr">
        <is>
          <t>indonesia-2023</t>
        </is>
      </c>
      <c r="D18" s="13" t="inlineStr">
        <is>
          <t>Indonesian peat haze, October 2023</t>
        </is>
      </c>
      <c r="E18" s="6" t="inlineStr">
        <is>
          <t>Peat fire</t>
        </is>
      </c>
      <c r="F18" s="11" t="inlineStr">
        <is>
          <t>Uncommon</t>
        </is>
      </c>
      <c r="G18" s="6" t="inlineStr">
        <is>
          <t>El Nino year haze.</t>
        </is>
      </c>
      <c r="H18" s="6" t="inlineStr">
        <is>
          <t>PM2.5</t>
        </is>
      </c>
      <c r="I18" s="6" t="inlineStr">
        <is>
          <t>2023-10</t>
        </is>
      </c>
      <c r="J18" s="6" t="inlineStr">
        <is>
          <t>Kalimantan, Sumatra</t>
        </is>
      </c>
      <c r="K18" s="6" t="inlineStr">
        <is>
          <t>95, 120, -6, 4</t>
        </is>
      </c>
      <c r="L18" s="8" t="n">
        <v>107.8</v>
      </c>
      <c r="M18" s="8" t="inlineStr">
        <is>
          <t>-2.4, 114.0</t>
        </is>
      </c>
      <c r="N18" s="8" t="n">
        <v>16</v>
      </c>
      <c r="O18" s="8" t="n">
        <v>9.9</v>
      </c>
      <c r="P18" s="9">
        <f>IFERROR(N18/O18,"")</f>
        <v/>
      </c>
      <c r="Q18" s="8" t="n">
        <v>107.8</v>
      </c>
      <c r="R18" s="9">
        <f>Q18/WHO_PM25</f>
        <v/>
      </c>
      <c r="S18" s="8" t="n">
        <v>16</v>
      </c>
      <c r="T18" s="9">
        <f>S18/WHO_PM25</f>
        <v/>
      </c>
      <c r="U18" s="8" t="n">
        <v>826</v>
      </c>
      <c r="V18" s="8" t="inlineStr">
        <is>
          <t>2022-10: 7.9  2023-10: 16.0  2024-10: 11.3  2025-10: 9.9</t>
        </is>
      </c>
      <c r="W18" s="6" t="inlineStr">
        <is>
          <t>Same cause as the 2026 card.</t>
        </is>
      </c>
      <c r="X18" s="6" t="inlineStr"/>
      <c r="Y18" s="10" t="inlineStr"/>
      <c r="Z18" s="10" t="inlineStr"/>
      <c r="AA18" s="10" t="inlineStr"/>
      <c r="AB18" s="10" t="inlineStr"/>
      <c r="AC18" s="10" t="inlineStr"/>
      <c r="AD18" s="10" t="inlineStr"/>
      <c r="AE18" s="10" t="inlineStr"/>
      <c r="AF18" s="10" t="inlineStr"/>
      <c r="AG18" s="6" t="inlineStr">
        <is>
          <t>Duplicates the 2026 card at a third of its strength.</t>
        </is>
      </c>
    </row>
    <row r="19">
      <c r="A19" s="13" t="n">
        <v>18</v>
      </c>
      <c r="B19" s="6" t="inlineStr">
        <is>
          <t>Maybe</t>
        </is>
      </c>
      <c r="C19" s="13" t="inlineStr">
        <is>
          <t>gulf-shamal</t>
        </is>
      </c>
      <c r="D19" s="13" t="inlineStr">
        <is>
          <t>Gulf shamal dust, June 2024</t>
        </is>
      </c>
      <c r="E19" s="6" t="inlineStr">
        <is>
          <t>Dust storm</t>
        </is>
      </c>
      <c r="F19" s="12" t="inlineStr">
        <is>
          <t>Common</t>
        </is>
      </c>
      <c r="G19" s="6" t="inlineStr">
        <is>
          <t>Every summer.</t>
        </is>
      </c>
      <c r="H19" s="6" t="inlineStr">
        <is>
          <t>Dust</t>
        </is>
      </c>
      <c r="I19" s="6" t="inlineStr">
        <is>
          <t>2024-06</t>
        </is>
      </c>
      <c r="J19" s="6" t="inlineStr">
        <is>
          <t>Iraq, Kuwait, eastern Saudi Arabia</t>
        </is>
      </c>
      <c r="K19" s="6" t="inlineStr">
        <is>
          <t>44, 58, 22, 32</t>
        </is>
      </c>
      <c r="L19" s="8" t="n">
        <v>1765</v>
      </c>
      <c r="M19" s="8" t="inlineStr">
        <is>
          <t>29.6, 48.0</t>
        </is>
      </c>
      <c r="N19" s="8" t="n">
        <v>280.9</v>
      </c>
      <c r="O19" s="8" t="n">
        <v>184.3</v>
      </c>
      <c r="P19" s="9">
        <f>IFERROR(N19/O19,"")</f>
        <v/>
      </c>
      <c r="Q19" s="8" t="n">
        <v>137</v>
      </c>
      <c r="R19" s="9">
        <f>Q19/WHO_PM25</f>
        <v/>
      </c>
      <c r="S19" s="8" t="n">
        <v>28</v>
      </c>
      <c r="T19" s="9">
        <f>S19/WHO_PM25</f>
        <v/>
      </c>
      <c r="U19" s="8" t="n">
        <v>317</v>
      </c>
      <c r="V19" s="8" t="inlineStr">
        <is>
          <t>2023-06: 175.4  2024-06: 280.9  2025-06: 257.1  2026-06: 202.9</t>
        </is>
      </c>
      <c r="W19" s="6" t="inlineStr">
        <is>
          <t>The summer shamal wind lifts dust from Iraq and Syria.</t>
        </is>
      </c>
      <c r="X19" s="6" t="inlineStr"/>
      <c r="Y19" s="10" t="inlineStr"/>
      <c r="Z19" s="10" t="inlineStr"/>
      <c r="AA19" s="10" t="inlineStr"/>
      <c r="AB19" s="10" t="inlineStr"/>
      <c r="AC19" s="10" t="inlineStr"/>
      <c r="AD19" s="10" t="inlineStr"/>
      <c r="AE19" s="10" t="inlineStr"/>
      <c r="AF19" s="10" t="inlineStr"/>
      <c r="AG19" s="6" t="inlineStr">
        <is>
          <t>Only 1.5x usual: the region is always dusty, so the event barely stands out on the globe.</t>
        </is>
      </c>
    </row>
    <row r="20">
      <c r="A20" s="13" t="n">
        <v>19</v>
      </c>
      <c r="B20" s="6" t="inlineStr">
        <is>
          <t>Maybe</t>
        </is>
      </c>
      <c r="C20" s="13" t="inlineStr">
        <is>
          <t>east-med-dust</t>
        </is>
      </c>
      <c r="D20" s="13" t="inlineStr">
        <is>
          <t>Eastern Mediterranean dust, March 2025</t>
        </is>
      </c>
      <c r="E20" s="6" t="inlineStr">
        <is>
          <t>Dust storm</t>
        </is>
      </c>
      <c r="F20" s="12" t="inlineStr">
        <is>
          <t>Common</t>
        </is>
      </c>
      <c r="G20" s="6" t="inlineStr">
        <is>
          <t>Most springs.</t>
        </is>
      </c>
      <c r="H20" s="6" t="inlineStr">
        <is>
          <t>Dust</t>
        </is>
      </c>
      <c r="I20" s="6" t="inlineStr">
        <is>
          <t>2025-03</t>
        </is>
      </c>
      <c r="J20" s="6" t="inlineStr">
        <is>
          <t>Libya, Egypt, eastern Mediterranean</t>
        </is>
      </c>
      <c r="K20" s="6" t="inlineStr">
        <is>
          <t>19, 36, 30, 42</t>
        </is>
      </c>
      <c r="L20" s="8" t="n">
        <v>1217</v>
      </c>
      <c r="M20" s="8" t="inlineStr">
        <is>
          <t>30.4, 21.2</t>
        </is>
      </c>
      <c r="N20" s="8" t="n">
        <v>62.1</v>
      </c>
      <c r="O20" s="8" t="n">
        <v>31.2</v>
      </c>
      <c r="P20" s="9">
        <f>IFERROR(N20/O20,"")</f>
        <v/>
      </c>
      <c r="Q20" s="8" t="n">
        <v>81.8</v>
      </c>
      <c r="R20" s="9">
        <f>Q20/WHO_PM25</f>
        <v/>
      </c>
      <c r="S20" s="8" t="n">
        <v>15.3</v>
      </c>
      <c r="T20" s="9">
        <f>S20/WHO_PM25</f>
        <v/>
      </c>
      <c r="U20" s="8" t="n">
        <v>1559</v>
      </c>
      <c r="V20" s="8" t="inlineStr">
        <is>
          <t>2023-03: 25.7  2024-03: 57.5  2025-03: 62.1  2026-03: 49.6</t>
        </is>
      </c>
      <c r="W20" s="6" t="inlineStr">
        <is>
          <t>Spring Saharan dust outbreaks.</t>
        </is>
      </c>
      <c r="X20" s="6" t="inlineStr"/>
      <c r="Y20" s="10" t="inlineStr"/>
      <c r="Z20" s="10" t="inlineStr"/>
      <c r="AA20" s="10" t="inlineStr"/>
      <c r="AB20" s="10" t="inlineStr"/>
      <c r="AC20" s="10" t="inlineStr"/>
      <c r="AD20" s="10" t="inlineStr"/>
      <c r="AE20" s="10" t="inlineStr"/>
      <c r="AF20" s="10" t="inlineStr"/>
      <c r="AG20" s="6" t="inlineStr">
        <is>
          <t>Near-duplicate of the Greece card.</t>
        </is>
      </c>
    </row>
  </sheetData>
  <autoFilter ref="A1:AG20"/>
  <dataValidations count="3">
    <dataValidation sqref="B2:B50" showDropDown="0" showInputMessage="0" showErrorMessage="0" allowBlank="1" type="list">
      <formula1>"Proposed,Maybe,Cut"</formula1>
    </dataValidation>
    <dataValidation sqref="F2:F50" showDropDown="0" showInputMessage="0" showErrorMessage="0" allowBlank="1" type="list">
      <formula1>"Common,Uncommon,Rare"</formula1>
    </dataValidation>
    <dataValidation sqref="E2:E50" showDropDown="0" showInputMessage="0" showErrorMessage="0" allowBlank="1" type="list">
      <formula1>"Wildfire,Peat fire,Crop burning,Savanna burning,Dust storm"</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40" customWidth="1" min="1" max="1"/>
    <col width="11" customWidth="1" min="2" max="2"/>
    <col width="11" customWidth="1" min="3" max="3"/>
    <col width="11" customWidth="1" min="4" max="4"/>
  </cols>
  <sheetData>
    <row r="1">
      <c r="A1" s="14" t="inlineStr">
        <is>
          <t>Proposed cards by rarity</t>
        </is>
      </c>
    </row>
    <row r="2">
      <c r="A2" s="15" t="inlineStr">
        <is>
          <t>Rarity</t>
        </is>
      </c>
      <c r="B2" s="15" t="inlineStr">
        <is>
          <t>Proposed</t>
        </is>
      </c>
      <c r="C2" s="15" t="inlineStr">
        <is>
          <t>Target</t>
        </is>
      </c>
      <c r="D2" s="15" t="inlineStr">
        <is>
          <t>Maybe</t>
        </is>
      </c>
    </row>
    <row r="3">
      <c r="A3" t="inlineStr">
        <is>
          <t>Common</t>
        </is>
      </c>
      <c r="B3">
        <f>COUNTIFS(Deck!$F$2:$F$200,A3,Deck!$B$2:$B$200,"Proposed")</f>
        <v/>
      </c>
      <c r="C3" s="16" t="n">
        <v>10</v>
      </c>
      <c r="D3">
        <f>COUNTIFS(Deck!$F$2:$F$200,A3,Deck!$B$2:$B$200,"Maybe")</f>
        <v/>
      </c>
    </row>
    <row r="4">
      <c r="A4" t="inlineStr">
        <is>
          <t>Uncommon</t>
        </is>
      </c>
      <c r="B4">
        <f>COUNTIFS(Deck!$F$2:$F$200,A4,Deck!$B$2:$B$200,"Proposed")</f>
        <v/>
      </c>
      <c r="C4" s="16" t="n">
        <v>6</v>
      </c>
      <c r="D4">
        <f>COUNTIFS(Deck!$F$2:$F$200,A4,Deck!$B$2:$B$200,"Maybe")</f>
        <v/>
      </c>
    </row>
    <row r="5">
      <c r="A5" t="inlineStr">
        <is>
          <t>Rare</t>
        </is>
      </c>
      <c r="B5">
        <f>COUNTIFS(Deck!$F$2:$F$200,A5,Deck!$B$2:$B$200,"Proposed")</f>
        <v/>
      </c>
      <c r="C5" s="16" t="n">
        <v>4</v>
      </c>
      <c r="D5">
        <f>COUNTIFS(Deck!$F$2:$F$200,A5,Deck!$B$2:$B$200,"Maybe")</f>
        <v/>
      </c>
    </row>
    <row r="6">
      <c r="A6" s="14" t="inlineStr">
        <is>
          <t>Total</t>
        </is>
      </c>
      <c r="B6" s="14">
        <f>SUM(B3:B5)</f>
        <v/>
      </c>
      <c r="C6" s="14">
        <f>SUM(C3:C5)</f>
        <v/>
      </c>
      <c r="D6" s="14">
        <f>SUM(D3:D5)</f>
        <v/>
      </c>
    </row>
    <row r="8">
      <c r="A8" s="14" t="inlineStr">
        <is>
          <t>Proposed cards by type</t>
        </is>
      </c>
    </row>
    <row r="9">
      <c r="A9" t="inlineStr">
        <is>
          <t>Wildfire</t>
        </is>
      </c>
      <c r="B9">
        <f>COUNTIFS(Deck!$E$2:$E$200,A9,Deck!$B$2:$B$200,"Proposed")</f>
        <v/>
      </c>
    </row>
    <row r="10">
      <c r="A10" t="inlineStr">
        <is>
          <t>Peat fire</t>
        </is>
      </c>
      <c r="B10">
        <f>COUNTIFS(Deck!$E$2:$E$200,A10,Deck!$B$2:$B$200,"Proposed")</f>
        <v/>
      </c>
    </row>
    <row r="11">
      <c r="A11" t="inlineStr">
        <is>
          <t>Crop burning</t>
        </is>
      </c>
      <c r="B11">
        <f>COUNTIFS(Deck!$E$2:$E$200,A11,Deck!$B$2:$B$200,"Proposed")</f>
        <v/>
      </c>
    </row>
    <row r="12">
      <c r="A12" t="inlineStr">
        <is>
          <t>Savanna burning</t>
        </is>
      </c>
      <c r="B12">
        <f>COUNTIFS(Deck!$E$2:$E$200,A12,Deck!$B$2:$B$200,"Proposed")</f>
        <v/>
      </c>
    </row>
    <row r="13">
      <c r="A13" t="inlineStr">
        <is>
          <t>Dust storm</t>
        </is>
      </c>
      <c r="B13">
        <f>COUNTIFS(Deck!$E$2:$E$200,A13,Deck!$B$2:$B$200,"Proposed")</f>
        <v/>
      </c>
    </row>
    <row r="15">
      <c r="A15" s="17" t="inlineStr">
        <is>
          <t>Targets are the 10 / 6 / 4 split agreed in discussion.</t>
        </is>
      </c>
    </row>
    <row r="17">
      <c r="A17" s="14" t="inlineStr">
        <is>
          <t>Constants</t>
        </is>
      </c>
    </row>
    <row r="18">
      <c r="A18" t="inlineStr">
        <is>
          <t>WHO 2021 PM2.5 24-hour guideline (ug/m3)</t>
        </is>
      </c>
      <c r="B18" s="16" t="n">
        <v>15</v>
      </c>
      <c r="C18" s="17" t="inlineStr">
        <is>
          <t>Source: WHO global air quality guidelines, 2021, Table 0.1 (24-hour PM2.5 = 15 ug/m3)</t>
        </is>
      </c>
    </row>
    <row r="19">
      <c r="A19" t="inlineStr">
        <is>
          <t>WHO 2021 PM2.5 annual guideline (ug/m3)</t>
        </is>
      </c>
      <c r="B19" s="16" t="n">
        <v>5</v>
      </c>
      <c r="C19" s="17" t="inlineStr">
        <is>
          <t>Source: WHO global air quality guidelines, 2021, Table 0.1 (annual PM2.5 = 5 ug/m3). Used only on the SoGA context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8" customWidth="1" min="1" max="1"/>
    <col width="70" customWidth="1" min="2" max="2"/>
    <col width="8" customWidth="1" min="3" max="3"/>
  </cols>
  <sheetData>
    <row r="1">
      <c r="A1" s="15" t="inlineStr">
        <is>
          <t>Type</t>
        </is>
      </c>
      <c r="B1" s="15" t="inlineStr">
        <is>
          <t>What it means</t>
        </is>
      </c>
      <c r="C1" s="15" t="inlineStr">
        <is>
          <t>Layer</t>
        </is>
      </c>
    </row>
    <row r="2">
      <c r="A2" s="3" t="inlineStr">
        <is>
          <t>Wildfire</t>
        </is>
      </c>
      <c r="B2" s="3" t="inlineStr">
        <is>
          <t>Forest or bush fires, often lightning-started or escaped land-clearing fires.</t>
        </is>
      </c>
      <c r="C2" s="3" t="inlineStr">
        <is>
          <t>PM2.5</t>
        </is>
      </c>
    </row>
    <row r="3">
      <c r="A3" s="3" t="inlineStr">
        <is>
          <t>Peat fire</t>
        </is>
      </c>
      <c r="B3" s="3" t="inlineStr">
        <is>
          <t>Drained peatland burning underground for weeks; dense, long-lasting haze.</t>
        </is>
      </c>
      <c r="C3" s="3" t="inlineStr">
        <is>
          <t>PM2.5</t>
        </is>
      </c>
    </row>
    <row r="4">
      <c r="A4" s="3" t="inlineStr">
        <is>
          <t>Crop burning</t>
        </is>
      </c>
      <c r="B4" s="3" t="inlineStr">
        <is>
          <t>Farmers burning crop residue or clearing fields; seasonal and human-set.</t>
        </is>
      </c>
      <c r="C4" s="3" t="inlineStr">
        <is>
          <t>PM2.5</t>
        </is>
      </c>
    </row>
    <row r="5">
      <c r="A5" s="3" t="inlineStr">
        <is>
          <t>Savanna burning</t>
        </is>
      </c>
      <c r="B5" s="3" t="inlineStr">
        <is>
          <t>Seasonal grassland and woodland burning, mostly managed fires.</t>
        </is>
      </c>
      <c r="C5" s="3" t="inlineStr">
        <is>
          <t>PM2.5</t>
        </is>
      </c>
    </row>
    <row r="6">
      <c r="A6" s="3" t="inlineStr">
        <is>
          <t>Dust storm</t>
        </is>
      </c>
      <c r="B6" s="3" t="inlineStr">
        <is>
          <t>Wind lifting desert dust, sometimes carried across oceans.</t>
        </is>
      </c>
      <c r="C6" s="3" t="inlineStr">
        <is>
          <t>Dust</t>
        </is>
      </c>
    </row>
    <row r="8">
      <c r="A8" s="17" t="inlineStr">
        <is>
          <t>Accident, transit, fireworks and urban/industry types were considered but no event of that kind shows in the monthly data. See Not visible.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7" customWidth="1" min="2" max="2"/>
    <col width="9" customWidth="1" min="3" max="3"/>
    <col width="8" customWidth="1" min="4" max="4"/>
    <col width="12" customWidth="1" min="5" max="5"/>
    <col width="70" customWidth="1" min="6" max="6"/>
  </cols>
  <sheetData>
    <row r="1">
      <c r="A1" s="15" t="inlineStr">
        <is>
          <t>Event</t>
        </is>
      </c>
      <c r="B1" s="15" t="inlineStr">
        <is>
          <t>Layer</t>
        </is>
      </c>
      <c r="C1" s="15" t="inlineStr">
        <is>
          <t>Month</t>
        </is>
      </c>
      <c r="D1" s="15" t="inlineStr">
        <is>
          <t>x usual</t>
        </is>
      </c>
      <c r="E1" s="15" t="inlineStr">
        <is>
          <t>Area &gt;= 2x usual (k km2)</t>
        </is>
      </c>
      <c r="F1" s="15" t="inlineStr">
        <is>
          <t>Why it is out</t>
        </is>
      </c>
    </row>
    <row r="2">
      <c r="A2" s="3" t="inlineStr">
        <is>
          <t>Los Angeles fires</t>
        </is>
      </c>
      <c r="B2" s="3" t="inlineStr">
        <is>
          <t>PM2.5</t>
        </is>
      </c>
      <c r="C2" s="3" t="inlineStr">
        <is>
          <t>2025-01</t>
        </is>
      </c>
      <c r="D2" s="18" t="n">
        <v>1.2</v>
      </c>
      <c r="E2" s="4" t="n">
        <v>3</v>
      </c>
      <c r="F2" s="3" t="inlineStr">
        <is>
          <t>A few days over a small area; vanishes in the monthly mean.</t>
        </is>
      </c>
    </row>
    <row r="3">
      <c r="A3" s="3" t="inlineStr">
        <is>
          <t>Evros fire, Greece</t>
        </is>
      </c>
      <c r="B3" s="3" t="inlineStr">
        <is>
          <t>PM2.5</t>
        </is>
      </c>
      <c r="C3" s="3" t="inlineStr">
        <is>
          <t>2023-08</t>
        </is>
      </c>
      <c r="D3" s="18" t="n">
        <v>1</v>
      </c>
      <c r="E3" s="4" t="n">
        <v>0</v>
      </c>
      <c r="F3" s="3" t="inlineStr">
        <is>
          <t>Not visible at 45 km monthly.</t>
        </is>
      </c>
    </row>
    <row r="4">
      <c r="A4" s="3" t="inlineStr">
        <is>
          <t>Maui fire</t>
        </is>
      </c>
      <c r="B4" s="3" t="inlineStr">
        <is>
          <t>PM2.5</t>
        </is>
      </c>
      <c r="C4" s="3" t="inlineStr">
        <is>
          <t>2023-08</t>
        </is>
      </c>
      <c r="D4" s="19" t="n"/>
      <c r="E4" s="3" t="n"/>
      <c r="F4" s="3" t="inlineStr">
        <is>
          <t>Island-scale, smaller than one grid cell. Not measured.</t>
        </is>
      </c>
    </row>
    <row r="5">
      <c r="A5" s="3" t="inlineStr">
        <is>
          <t>East Palestine train derailment</t>
        </is>
      </c>
      <c r="B5" s="3" t="inlineStr">
        <is>
          <t>PM2.5</t>
        </is>
      </c>
      <c r="C5" s="3" t="inlineStr">
        <is>
          <t>2023-02</t>
        </is>
      </c>
      <c r="D5" s="19" t="n"/>
      <c r="E5" s="3" t="n"/>
      <c r="F5" s="3" t="inlineStr">
        <is>
          <t>Local chemical release; not in these fields. Not measured. (Accident type.)</t>
        </is>
      </c>
    </row>
    <row r="6">
      <c r="A6" s="3" t="inlineStr">
        <is>
          <t>Diwali night</t>
        </is>
      </c>
      <c r="B6" s="3" t="inlineStr">
        <is>
          <t>PM2.5</t>
        </is>
      </c>
      <c r="C6" s="3" t="inlineStr">
        <is>
          <t>Nov</t>
        </is>
      </c>
      <c r="D6" s="19" t="n"/>
      <c r="E6" s="3" t="n"/>
      <c r="F6" s="3" t="inlineStr">
        <is>
          <t>One or two nights; diluted into the North India November card, where it becomes the misconception question.</t>
        </is>
      </c>
    </row>
    <row r="7">
      <c r="A7" s="3" t="inlineStr">
        <is>
          <t>Lahore smog, Nov 2024</t>
        </is>
      </c>
      <c r="B7" s="3" t="inlineStr">
        <is>
          <t>PM2.5</t>
        </is>
      </c>
      <c r="C7" s="3" t="inlineStr">
        <is>
          <t>2024-11</t>
        </is>
      </c>
      <c r="D7" s="19" t="n"/>
      <c r="E7" s="3" t="n"/>
      <c r="F7" s="3" t="inlineStr">
        <is>
          <t>Same place and month as the North India November card; merged into it.</t>
        </is>
      </c>
    </row>
    <row r="8">
      <c r="A8" s="3" t="inlineStr">
        <is>
          <t>Red Sea shipping NO2</t>
        </is>
      </c>
      <c r="B8" s="3" t="inlineStr">
        <is>
          <t>NO2</t>
        </is>
      </c>
      <c r="C8" s="3" t="inlineStr">
        <is>
          <t>2024-06</t>
        </is>
      </c>
      <c r="D8" s="18" t="n">
        <v>1.3</v>
      </c>
      <c r="E8" s="4" t="n">
        <v>124</v>
      </c>
      <c r="F8" s="3" t="inlineStr">
        <is>
          <t>Ship plumes are too faint at the surface in monthly means. (Transit type.)</t>
        </is>
      </c>
    </row>
    <row r="9">
      <c r="A9" s="3" t="inlineStr">
        <is>
          <t>Highveld coal NO2, South Africa</t>
        </is>
      </c>
      <c r="B9" s="3" t="inlineStr">
        <is>
          <t>NO2</t>
        </is>
      </c>
      <c r="C9" s="3" t="inlineStr">
        <is>
          <t>2024-07</t>
        </is>
      </c>
      <c r="D9" s="18" t="n">
        <v>1.2</v>
      </c>
      <c r="E9" s="4" t="n">
        <v>23</v>
      </c>
      <c r="F9" s="3" t="inlineStr">
        <is>
          <t>A constant hotspot, not an event: "x usual" stays near 1.</t>
        </is>
      </c>
    </row>
    <row r="10">
      <c r="A10" s="3" t="inlineStr">
        <is>
          <t>North China winter NO2 and PM2.5</t>
        </is>
      </c>
      <c r="B10" s="3" t="inlineStr">
        <is>
          <t>NO2</t>
        </is>
      </c>
      <c r="C10" s="3" t="inlineStr">
        <is>
          <t>2024-01</t>
        </is>
      </c>
      <c r="D10" s="18" t="n">
        <v>1.3</v>
      </c>
      <c r="E10" s="4" t="n">
        <v>0</v>
      </c>
      <c r="F10" s="3" t="inlineStr">
        <is>
          <t>Constant winter pollution, not an event.</t>
        </is>
      </c>
    </row>
    <row r="11">
      <c r="A11" s="3" t="inlineStr">
        <is>
          <t>Ulaanbaatar winter smog</t>
        </is>
      </c>
      <c r="B11" s="3" t="inlineStr">
        <is>
          <t>PM2.5</t>
        </is>
      </c>
      <c r="C11" s="3" t="inlineStr">
        <is>
          <t>2024-01</t>
        </is>
      </c>
      <c r="D11" s="18" t="n">
        <v>0.9</v>
      </c>
      <c r="E11" s="4" t="n">
        <v>3</v>
      </c>
      <c r="F11" s="3" t="inlineStr">
        <is>
          <t>City-scale; too small for the grid.</t>
        </is>
      </c>
    </row>
    <row r="12">
      <c r="A12" s="3" t="inlineStr">
        <is>
          <t>Canadian smoke over Europe</t>
        </is>
      </c>
      <c r="B12" s="3" t="inlineStr">
        <is>
          <t>PM2.5</t>
        </is>
      </c>
      <c r="C12" s="3" t="inlineStr">
        <is>
          <t>2023-06</t>
        </is>
      </c>
      <c r="D12" s="18" t="n">
        <v>1.4</v>
      </c>
      <c r="E12" s="4" t="n">
        <v>106</v>
      </c>
      <c r="F12" s="3" t="inlineStr">
        <is>
          <t>Real but faint in the monthly mean; part of the Canada 2023 card at most.</t>
        </is>
      </c>
    </row>
    <row r="13">
      <c r="A13" s="3" t="inlineStr">
        <is>
          <t>Northern Australia, Dec 2023</t>
        </is>
      </c>
      <c r="B13" s="3" t="inlineStr">
        <is>
          <t>PM2.5</t>
        </is>
      </c>
      <c r="C13" s="3" t="inlineStr">
        <is>
          <t>2023-12</t>
        </is>
      </c>
      <c r="D13" s="18" t="n">
        <v>1.3</v>
      </c>
      <c r="E13" s="4" t="n">
        <v>232</v>
      </c>
      <c r="F13" s="3" t="inlineStr">
        <is>
          <t>Weak and not a named event.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6" customWidth="1" min="3" max="3"/>
    <col width="10" customWidth="1" min="4" max="4"/>
    <col width="9" customWidth="1" min="5" max="5"/>
    <col width="9" customWidth="1" min="6" max="6"/>
    <col width="9" customWidth="1" min="7" max="7"/>
    <col width="9" customWidth="1" min="8" max="8"/>
    <col width="13" customWidth="1" min="9" max="9"/>
    <col width="11" customWidth="1" min="10" max="10"/>
    <col width="10" customWidth="1" min="11" max="11"/>
    <col width="13" customWidth="1" min="12" max="12"/>
    <col width="9" customWidth="1" min="13" max="13"/>
    <col width="13" customWidth="1" min="14" max="14"/>
    <col width="18" customWidth="1" min="15" max="15"/>
    <col width="12" customWidth="1" min="16" max="16"/>
    <col width="12" customWidth="1" min="17" max="17"/>
    <col width="13" customWidth="1" min="18" max="18"/>
    <col width="26" customWidth="1" min="19" max="19"/>
    <col width="70" customWidth="1" min="20" max="20"/>
  </cols>
  <sheetData>
    <row r="1" ht="54" customHeight="1">
      <c r="A1" s="5" t="inlineStr">
        <is>
          <t>#</t>
        </is>
      </c>
      <c r="B1" s="5" t="inlineStr">
        <is>
          <t>Card ID</t>
        </is>
      </c>
      <c r="C1" s="5" t="inlineStr">
        <is>
          <t>Country</t>
        </is>
      </c>
      <c r="D1" s="5" t="inlineStr">
        <is>
          <t>PM2.5 2013 (ug/m3)</t>
        </is>
      </c>
      <c r="E1" s="5" t="inlineStr">
        <is>
          <t>PM2.5 2015</t>
        </is>
      </c>
      <c r="F1" s="5" t="inlineStr">
        <is>
          <t>PM2.5 2019</t>
        </is>
      </c>
      <c r="G1" s="5" t="inlineStr">
        <is>
          <t>PM2.5 2022</t>
        </is>
      </c>
      <c r="H1" s="5" t="inlineStr">
        <is>
          <t>PM2.5 2023</t>
        </is>
      </c>
      <c r="I1" s="5" t="inlineStr">
        <is>
          <t>PM2.5 2023, 95% UI</t>
        </is>
      </c>
      <c r="J1" s="5" t="inlineStr">
        <is>
          <t>Change 2013 to 2023</t>
        </is>
      </c>
      <c r="K1" s="5" t="inlineStr">
        <is>
          <t>x WHO annual (2023)</t>
        </is>
      </c>
      <c r="L1" s="5" t="inlineStr">
        <is>
          <t>Cooking with solid fuels, 2023 (% of people)</t>
        </is>
      </c>
      <c r="M1" s="5" t="inlineStr">
        <is>
          <t>Ozone 2020 (ppb)</t>
        </is>
      </c>
      <c r="N1" s="5" t="inlineStr">
        <is>
          <t>Deaths linked to air pollution, 2023</t>
        </is>
      </c>
      <c r="O1" s="5" t="inlineStr">
        <is>
          <t>Deaths, 95% UI</t>
        </is>
      </c>
      <c r="P1" s="5" t="inlineStr">
        <is>
          <t>of which outdoor PM2.5</t>
        </is>
      </c>
      <c r="Q1" s="5" t="inlineStr">
        <is>
          <t>of which household smoke</t>
        </is>
      </c>
      <c r="R1" s="5" t="inlineStr">
        <is>
          <t>Death rate, age-standardised (per 100,000)</t>
        </is>
      </c>
      <c r="S1" s="5" t="inlineStr">
        <is>
          <t>Also printed in the report</t>
        </is>
      </c>
      <c r="T1" s="5" t="inlineStr">
        <is>
          <t>Card-back draft (one per card)</t>
        </is>
      </c>
    </row>
    <row r="2">
      <c r="A2" s="20" t="n">
        <v>1</v>
      </c>
      <c r="B2" s="20" t="inlineStr">
        <is>
          <t>canada-2023</t>
        </is>
      </c>
      <c r="C2" s="20" t="inlineStr">
        <is>
          <t>Canada</t>
        </is>
      </c>
      <c r="D2" s="21" t="n">
        <v>7.14</v>
      </c>
      <c r="E2" s="21" t="n">
        <v>7.39</v>
      </c>
      <c r="F2" s="21" t="n">
        <v>6.45</v>
      </c>
      <c r="G2" s="21" t="n">
        <v>6.39</v>
      </c>
      <c r="H2" s="21" t="n">
        <v>6.55</v>
      </c>
      <c r="I2" s="21" t="inlineStr">
        <is>
          <t>6.34–6.77</t>
        </is>
      </c>
      <c r="J2" s="22">
        <f>IFERROR(H2/D2-1,"")</f>
        <v/>
      </c>
      <c r="K2" s="23">
        <f>H2/WHO_PM25_ANNUAL</f>
        <v/>
      </c>
      <c r="L2" s="21" t="n">
        <v>0.16</v>
      </c>
      <c r="M2" s="21" t="n">
        <v>37.2</v>
      </c>
      <c r="N2" s="24" t="n">
        <v>7060</v>
      </c>
      <c r="O2" s="21" t="inlineStr">
        <is>
          <t>3,740–12,200</t>
        </is>
      </c>
      <c r="P2" s="24" t="n">
        <v>6270</v>
      </c>
      <c r="Q2" s="24" t="n">
        <v>29.3</v>
      </c>
      <c r="R2" s="21" t="n">
        <v>8.23</v>
      </c>
      <c r="S2" s="20" t="inlineStr"/>
      <c r="T2" s="20" t="inlineStr">
        <is>
          <t>Averaged over all of Canada and all of 2023, PM2.5 was 6.6 µg/m³, lower than in 2021 (7.8). A month of record smoke almost disappears in a yearly national average.</t>
        </is>
      </c>
    </row>
    <row r="3">
      <c r="A3" s="6" t="n">
        <v>1</v>
      </c>
      <c r="B3" s="6" t="inlineStr">
        <is>
          <t>canada-2023</t>
        </is>
      </c>
      <c r="C3" s="6" t="inlineStr">
        <is>
          <t>United States of America</t>
        </is>
      </c>
      <c r="D3" s="8" t="n">
        <v>8.43</v>
      </c>
      <c r="E3" s="8" t="n">
        <v>8.050000000000001</v>
      </c>
      <c r="F3" s="8" t="n">
        <v>7.27</v>
      </c>
      <c r="G3" s="8" t="n">
        <v>7.43</v>
      </c>
      <c r="H3" s="8" t="n">
        <v>6.97</v>
      </c>
      <c r="I3" s="8" t="inlineStr">
        <is>
          <t>6.9–7.04</t>
        </is>
      </c>
      <c r="J3" s="25">
        <f>IFERROR(H3/D3-1,"")</f>
        <v/>
      </c>
      <c r="K3" s="26">
        <f>H3/WHO_PM25_ANNUAL</f>
        <v/>
      </c>
      <c r="L3" s="8" t="n">
        <v>0.2</v>
      </c>
      <c r="M3" s="8" t="n">
        <v>43.1</v>
      </c>
      <c r="N3" s="27" t="n">
        <v>82500</v>
      </c>
      <c r="O3" s="8" t="inlineStr">
        <is>
          <t>44,300–135,100</t>
        </is>
      </c>
      <c r="P3" s="27" t="n">
        <v>69700</v>
      </c>
      <c r="Q3" s="27" t="n">
        <v>384</v>
      </c>
      <c r="R3" s="8" t="n">
        <v>13</v>
      </c>
      <c r="S3" s="6" t="inlineStr"/>
      <c r="T3" s="6" t="n"/>
    </row>
    <row r="4">
      <c r="A4" s="20" t="n">
        <v>2</v>
      </c>
      <c r="B4" s="20" t="inlineStr">
        <is>
          <t>south-america-2024</t>
        </is>
      </c>
      <c r="C4" s="20" t="inlineStr">
        <is>
          <t>Bolivia (Plurinational State of)</t>
        </is>
      </c>
      <c r="D4" s="21" t="n">
        <v>25.2</v>
      </c>
      <c r="E4" s="21" t="n">
        <v>27.2</v>
      </c>
      <c r="F4" s="21" t="n">
        <v>28.9</v>
      </c>
      <c r="G4" s="21" t="n">
        <v>30.6</v>
      </c>
      <c r="H4" s="21" t="n">
        <v>28.1</v>
      </c>
      <c r="I4" s="21" t="inlineStr">
        <is>
          <t>27.5–28.8</t>
        </is>
      </c>
      <c r="J4" s="22">
        <f>IFERROR(H4/D4-1,"")</f>
        <v/>
      </c>
      <c r="K4" s="23">
        <f>H4/WHO_PM25_ANNUAL</f>
        <v/>
      </c>
      <c r="L4" s="21" t="n">
        <v>10.8</v>
      </c>
      <c r="M4" s="21" t="n">
        <v>41.1</v>
      </c>
      <c r="N4" s="24" t="n">
        <v>6540</v>
      </c>
      <c r="O4" s="21" t="inlineStr">
        <is>
          <t>5,080–8,110</t>
        </is>
      </c>
      <c r="P4" s="24" t="n">
        <v>4830</v>
      </c>
      <c r="Q4" s="24" t="n">
        <v>1620</v>
      </c>
      <c r="R4" s="21" t="n">
        <v>75.59999999999999</v>
      </c>
      <c r="S4" s="20" t="inlineStr"/>
      <c r="T4" s="20" t="inlineStr">
        <is>
          <t>In 2023, air pollution was linked to about 6,500 deaths in Bolivia. Its yearly PM2.5 (28 µg/m³) is about double Brazil's (13).</t>
        </is>
      </c>
    </row>
    <row r="5">
      <c r="A5" s="6" t="n">
        <v>2</v>
      </c>
      <c r="B5" s="6" t="inlineStr">
        <is>
          <t>south-america-2024</t>
        </is>
      </c>
      <c r="C5" s="6" t="inlineStr">
        <is>
          <t>Brazil</t>
        </is>
      </c>
      <c r="D5" s="8" t="n">
        <v>13.2</v>
      </c>
      <c r="E5" s="8" t="n">
        <v>14.1</v>
      </c>
      <c r="F5" s="8" t="n">
        <v>13.8</v>
      </c>
      <c r="G5" s="8" t="n">
        <v>14.9</v>
      </c>
      <c r="H5" s="8" t="n">
        <v>13.4</v>
      </c>
      <c r="I5" s="8" t="inlineStr">
        <is>
          <t>13.1–13.6</t>
        </is>
      </c>
      <c r="J5" s="25">
        <f>IFERROR(H5/D5-1,"")</f>
        <v/>
      </c>
      <c r="K5" s="26">
        <f>H5/WHO_PM25_ANNUAL</f>
        <v/>
      </c>
      <c r="L5" s="8" t="n">
        <v>4.4</v>
      </c>
      <c r="M5" s="8" t="n">
        <v>40.5</v>
      </c>
      <c r="N5" s="27" t="n">
        <v>87400</v>
      </c>
      <c r="O5" s="8" t="inlineStr">
        <is>
          <t>60,100–118,700</t>
        </is>
      </c>
      <c r="P5" s="27" t="n">
        <v>78000</v>
      </c>
      <c r="Q5" s="27" t="n">
        <v>5080</v>
      </c>
      <c r="R5" s="8" t="n">
        <v>34.6</v>
      </c>
      <c r="S5" s="6" t="inlineStr"/>
      <c r="T5" s="6" t="n"/>
    </row>
    <row r="6">
      <c r="A6" s="6" t="n">
        <v>2</v>
      </c>
      <c r="B6" s="6" t="inlineStr">
        <is>
          <t>south-america-2024</t>
        </is>
      </c>
      <c r="C6" s="6" t="inlineStr">
        <is>
          <t>Paraguay</t>
        </is>
      </c>
      <c r="D6" s="8" t="n">
        <v>12.2</v>
      </c>
      <c r="E6" s="8" t="n">
        <v>15</v>
      </c>
      <c r="F6" s="8" t="n">
        <v>16.4</v>
      </c>
      <c r="G6" s="8" t="n">
        <v>14.4</v>
      </c>
      <c r="H6" s="8" t="n">
        <v>15.3</v>
      </c>
      <c r="I6" s="8" t="inlineStr">
        <is>
          <t>14.9–15.7</t>
        </is>
      </c>
      <c r="J6" s="25">
        <f>IFERROR(H6/D6-1,"")</f>
        <v/>
      </c>
      <c r="K6" s="26">
        <f>H6/WHO_PM25_ANNUAL</f>
        <v/>
      </c>
      <c r="L6" s="8" t="n">
        <v>23.8</v>
      </c>
      <c r="M6" s="8" t="n">
        <v>41.7</v>
      </c>
      <c r="N6" s="27" t="n">
        <v>3790</v>
      </c>
      <c r="O6" s="8" t="inlineStr">
        <is>
          <t>2,790–4,960</t>
        </is>
      </c>
      <c r="P6" s="27" t="n">
        <v>2570</v>
      </c>
      <c r="Q6" s="27" t="n">
        <v>1130</v>
      </c>
      <c r="R6" s="8" t="n">
        <v>77.7</v>
      </c>
      <c r="S6" s="6" t="inlineStr"/>
      <c r="T6" s="6" t="n"/>
    </row>
    <row r="7">
      <c r="A7" s="20" t="n">
        <v>3</v>
      </c>
      <c r="B7" s="20" t="inlineStr">
        <is>
          <t>indonesia-2026</t>
        </is>
      </c>
      <c r="C7" s="20" t="inlineStr">
        <is>
          <t>Indonesia</t>
        </is>
      </c>
      <c r="D7" s="21" t="n">
        <v>19.4</v>
      </c>
      <c r="E7" s="21" t="n">
        <v>25.6</v>
      </c>
      <c r="F7" s="21" t="n">
        <v>24</v>
      </c>
      <c r="G7" s="21" t="n">
        <v>19.8</v>
      </c>
      <c r="H7" s="21" t="n">
        <v>20.8</v>
      </c>
      <c r="I7" s="21" t="inlineStr">
        <is>
          <t>20.2–21.5</t>
        </is>
      </c>
      <c r="J7" s="22">
        <f>IFERROR(H7/D7-1,"")</f>
        <v/>
      </c>
      <c r="K7" s="23">
        <f>H7/WHO_PM25_ANNUAL</f>
        <v/>
      </c>
      <c r="L7" s="21" t="n">
        <v>18</v>
      </c>
      <c r="M7" s="21" t="n">
        <v>38</v>
      </c>
      <c r="N7" s="24" t="n">
        <v>192100</v>
      </c>
      <c r="O7" s="21" t="inlineStr">
        <is>
          <t>146,200–242,500</t>
        </is>
      </c>
      <c r="P7" s="24" t="n">
        <v>147100</v>
      </c>
      <c r="Q7" s="24" t="n">
        <v>42700</v>
      </c>
      <c r="R7" s="21" t="n">
        <v>82.2</v>
      </c>
      <c r="S7" s="20" t="inlineStr">
        <is>
          <t>p.4, 24: &gt;100,000 deaths</t>
        </is>
      </c>
      <c r="T7" s="20" t="inlineStr">
        <is>
          <t>In 2023, air pollution was linked to about 192,000 deaths in Indonesia. Haze years show even in yearly averages: Singapore's PM2.5 reached 26.8 µg/m³ in 2015 and 18.9 in 2019, against about 15 in other recent years.</t>
        </is>
      </c>
    </row>
    <row r="8">
      <c r="A8" s="6" t="n">
        <v>3</v>
      </c>
      <c r="B8" s="6" t="inlineStr">
        <is>
          <t>indonesia-2026</t>
        </is>
      </c>
      <c r="C8" s="6" t="inlineStr">
        <is>
          <t>Singapore</t>
        </is>
      </c>
      <c r="D8" s="8" t="n">
        <v>25.5</v>
      </c>
      <c r="E8" s="8" t="n">
        <v>26.8</v>
      </c>
      <c r="F8" s="8" t="n">
        <v>18.9</v>
      </c>
      <c r="G8" s="8" t="n">
        <v>15.1</v>
      </c>
      <c r="H8" s="8" t="n">
        <v>15.1</v>
      </c>
      <c r="I8" s="8" t="inlineStr">
        <is>
          <t>13–17.3</t>
        </is>
      </c>
      <c r="J8" s="25">
        <f>IFERROR(H8/D8-1,"")</f>
        <v/>
      </c>
      <c r="K8" s="26">
        <f>H8/WHO_PM25_ANNUAL</f>
        <v/>
      </c>
      <c r="L8" s="8" t="n">
        <v>0.5600000000000001</v>
      </c>
      <c r="M8" s="8" t="n">
        <v>45.6</v>
      </c>
      <c r="N8" s="27" t="n">
        <v>2300</v>
      </c>
      <c r="O8" s="8" t="inlineStr">
        <is>
          <t>1,260–3,400</t>
        </is>
      </c>
      <c r="P8" s="27" t="n">
        <v>2240</v>
      </c>
      <c r="Q8" s="27" t="n">
        <v>14.8</v>
      </c>
      <c r="R8" s="8" t="n">
        <v>25.2</v>
      </c>
      <c r="S8" s="6" t="inlineStr"/>
      <c r="T8" s="6" t="n"/>
    </row>
    <row r="9">
      <c r="A9" s="6" t="n">
        <v>3</v>
      </c>
      <c r="B9" s="6" t="inlineStr">
        <is>
          <t>indonesia-2026</t>
        </is>
      </c>
      <c r="C9" s="6" t="inlineStr">
        <is>
          <t>Malaysia</t>
        </is>
      </c>
      <c r="D9" s="8" t="n">
        <v>19.7</v>
      </c>
      <c r="E9" s="8" t="n">
        <v>25.2</v>
      </c>
      <c r="F9" s="8" t="n">
        <v>20.9</v>
      </c>
      <c r="G9" s="8" t="n">
        <v>15.3</v>
      </c>
      <c r="H9" s="8" t="n">
        <v>15.9</v>
      </c>
      <c r="I9" s="8" t="inlineStr">
        <is>
          <t>15.4–16.3</t>
        </is>
      </c>
      <c r="J9" s="25">
        <f>IFERROR(H9/D9-1,"")</f>
        <v/>
      </c>
      <c r="K9" s="26">
        <f>H9/WHO_PM25_ANNUAL</f>
        <v/>
      </c>
      <c r="L9" s="8" t="n">
        <v>1.04</v>
      </c>
      <c r="M9" s="8" t="n">
        <v>39.1</v>
      </c>
      <c r="N9" s="27" t="n">
        <v>16300</v>
      </c>
      <c r="O9" s="8" t="inlineStr">
        <is>
          <t>12,000–21,000</t>
        </is>
      </c>
      <c r="P9" s="27" t="n">
        <v>15900</v>
      </c>
      <c r="Q9" s="27" t="n">
        <v>57.3</v>
      </c>
      <c r="R9" s="8" t="n">
        <v>58</v>
      </c>
      <c r="S9" s="6" t="inlineStr"/>
      <c r="T9" s="6" t="n"/>
    </row>
    <row r="10">
      <c r="A10" s="20" t="n">
        <v>4</v>
      </c>
      <c r="B10" s="20" t="inlineStr">
        <is>
          <t>canada-2025</t>
        </is>
      </c>
      <c r="C10" s="20" t="inlineStr">
        <is>
          <t>Canada</t>
        </is>
      </c>
      <c r="D10" s="21" t="n">
        <v>7.14</v>
      </c>
      <c r="E10" s="21" t="n">
        <v>7.39</v>
      </c>
      <c r="F10" s="21" t="n">
        <v>6.45</v>
      </c>
      <c r="G10" s="21" t="n">
        <v>6.39</v>
      </c>
      <c r="H10" s="21" t="n">
        <v>6.55</v>
      </c>
      <c r="I10" s="21" t="inlineStr">
        <is>
          <t>6.34–6.77</t>
        </is>
      </c>
      <c r="J10" s="22">
        <f>IFERROR(H10/D10-1,"")</f>
        <v/>
      </c>
      <c r="K10" s="23">
        <f>H10/WHO_PM25_ANNUAL</f>
        <v/>
      </c>
      <c r="L10" s="21" t="n">
        <v>0.16</v>
      </c>
      <c r="M10" s="21" t="n">
        <v>37.2</v>
      </c>
      <c r="N10" s="24" t="n">
        <v>7060</v>
      </c>
      <c r="O10" s="21" t="inlineStr">
        <is>
          <t>3,740–12,200</t>
        </is>
      </c>
      <c r="P10" s="24" t="n">
        <v>6270</v>
      </c>
      <c r="Q10" s="24" t="n">
        <v>29.3</v>
      </c>
      <c r="R10" s="21" t="n">
        <v>8.23</v>
      </c>
      <c r="S10" s="20" t="inlineStr"/>
      <c r="T10" s="20" t="inlineStr">
        <is>
          <t>In 2023, Canada's death rate linked to air pollution was 8 per 100,000 people, against 92 worldwide.</t>
        </is>
      </c>
    </row>
    <row r="11">
      <c r="A11" s="20" t="n">
        <v>5</v>
      </c>
      <c r="B11" s="20" t="inlineStr">
        <is>
          <t>yakutia-2024</t>
        </is>
      </c>
      <c r="C11" s="20" t="inlineStr">
        <is>
          <t>Russian Federation</t>
        </is>
      </c>
      <c r="D11" s="21" t="n">
        <v>14.2</v>
      </c>
      <c r="E11" s="21" t="n">
        <v>13.1</v>
      </c>
      <c r="F11" s="21" t="n">
        <v>12.6</v>
      </c>
      <c r="G11" s="21" t="n">
        <v>11.8</v>
      </c>
      <c r="H11" s="21" t="n">
        <v>11.6</v>
      </c>
      <c r="I11" s="21" t="inlineStr">
        <is>
          <t>11.4–11.7</t>
        </is>
      </c>
      <c r="J11" s="22">
        <f>IFERROR(H11/D11-1,"")</f>
        <v/>
      </c>
      <c r="K11" s="23">
        <f>H11/WHO_PM25_ANNUAL</f>
        <v/>
      </c>
      <c r="L11" s="21" t="n">
        <v>2.15</v>
      </c>
      <c r="M11" s="21" t="n">
        <v>35.7</v>
      </c>
      <c r="N11" s="24" t="n">
        <v>91700</v>
      </c>
      <c r="O11" s="21" t="inlineStr">
        <is>
          <t>59,500–128,700</t>
        </is>
      </c>
      <c r="P11" s="24" t="n">
        <v>89700</v>
      </c>
      <c r="Q11" s="24" t="n">
        <v>1060</v>
      </c>
      <c r="R11" s="21" t="n">
        <v>38</v>
      </c>
      <c r="S11" s="20" t="inlineStr"/>
      <c r="T11" s="20" t="inlineStr">
        <is>
          <t>In 2023, air pollution was linked to about 92,000 deaths in Russia, almost all of them from outdoor PM2.5.</t>
        </is>
      </c>
    </row>
    <row r="12">
      <c r="A12" s="20" t="n">
        <v>6</v>
      </c>
      <c r="B12" s="20" t="inlineStr">
        <is>
          <t>athens-dust-2024</t>
        </is>
      </c>
      <c r="C12" s="20" t="inlineStr">
        <is>
          <t>Greece</t>
        </is>
      </c>
      <c r="D12" s="21" t="n">
        <v>15.1</v>
      </c>
      <c r="E12" s="21" t="n">
        <v>15.5</v>
      </c>
      <c r="F12" s="21" t="n">
        <v>15.5</v>
      </c>
      <c r="G12" s="21" t="n">
        <v>16.3</v>
      </c>
      <c r="H12" s="21" t="n">
        <v>14.1</v>
      </c>
      <c r="I12" s="21" t="inlineStr">
        <is>
          <t>13.6–14.7</t>
        </is>
      </c>
      <c r="J12" s="22">
        <f>IFERROR(H12/D12-1,"")</f>
        <v/>
      </c>
      <c r="K12" s="23">
        <f>H12/WHO_PM25_ANNUAL</f>
        <v/>
      </c>
      <c r="L12" s="21" t="n">
        <v>0.4</v>
      </c>
      <c r="M12" s="21" t="n">
        <v>46.2</v>
      </c>
      <c r="N12" s="24" t="n">
        <v>9340</v>
      </c>
      <c r="O12" s="21" t="inlineStr">
        <is>
          <t>6,180–13,500</t>
        </is>
      </c>
      <c r="P12" s="24" t="n">
        <v>8920</v>
      </c>
      <c r="Q12" s="24" t="n">
        <v>20.6</v>
      </c>
      <c r="R12" s="21" t="n">
        <v>29.8</v>
      </c>
      <c r="S12" s="20" t="inlineStr"/>
      <c r="T12" s="20" t="inlineStr">
        <is>
          <t>Greece's yearly PM2.5 was 14.1 µg/m³ in 2023, nearly three times the WHO annual guideline of 5. Saharan dust is part of that average.</t>
        </is>
      </c>
    </row>
    <row r="13">
      <c r="A13" s="6" t="n">
        <v>6</v>
      </c>
      <c r="B13" s="6" t="inlineStr">
        <is>
          <t>athens-dust-2024</t>
        </is>
      </c>
      <c r="C13" s="6" t="inlineStr">
        <is>
          <t>Libya</t>
        </is>
      </c>
      <c r="D13" s="8" t="n">
        <v>26</v>
      </c>
      <c r="E13" s="8" t="n">
        <v>19.9</v>
      </c>
      <c r="F13" s="8" t="n">
        <v>20</v>
      </c>
      <c r="G13" s="8" t="n">
        <v>23.2</v>
      </c>
      <c r="H13" s="8" t="n">
        <v>20</v>
      </c>
      <c r="I13" s="8" t="inlineStr">
        <is>
          <t>19.6–20.4</t>
        </is>
      </c>
      <c r="J13" s="25">
        <f>IFERROR(H13/D13-1,"")</f>
        <v/>
      </c>
      <c r="K13" s="26">
        <f>H13/WHO_PM25_ANNUAL</f>
        <v/>
      </c>
      <c r="L13" s="8" t="n">
        <v>0.16</v>
      </c>
      <c r="M13" s="8" t="n">
        <v>54.2</v>
      </c>
      <c r="N13" s="27" t="n">
        <v>3270</v>
      </c>
      <c r="O13" s="8" t="inlineStr">
        <is>
          <t>2,330–4,060</t>
        </is>
      </c>
      <c r="P13" s="27" t="n">
        <v>3190</v>
      </c>
      <c r="Q13" s="27" t="n">
        <v>6.41</v>
      </c>
      <c r="R13" s="8" t="n">
        <v>69.5</v>
      </c>
      <c r="S13" s="6" t="inlineStr"/>
      <c r="T13" s="6" t="n"/>
    </row>
    <row r="14">
      <c r="A14" s="20" t="n">
        <v>7</v>
      </c>
      <c r="B14" s="20" t="inlineStr">
        <is>
          <t>iberia-2025</t>
        </is>
      </c>
      <c r="C14" s="20" t="inlineStr">
        <is>
          <t>Spain</t>
        </is>
      </c>
      <c r="D14" s="21" t="n">
        <v>10.3</v>
      </c>
      <c r="E14" s="21" t="n">
        <v>11.8</v>
      </c>
      <c r="F14" s="21" t="n">
        <v>10.4</v>
      </c>
      <c r="G14" s="21" t="n">
        <v>11.9</v>
      </c>
      <c r="H14" s="21" t="n">
        <v>10.1</v>
      </c>
      <c r="I14" s="21" t="inlineStr">
        <is>
          <t>9.83–10.3</t>
        </is>
      </c>
      <c r="J14" s="22">
        <f>IFERROR(H14/D14-1,"")</f>
        <v/>
      </c>
      <c r="K14" s="23">
        <f>H14/WHO_PM25_ANNUAL</f>
        <v/>
      </c>
      <c r="L14" s="21" t="n">
        <v>0.77</v>
      </c>
      <c r="M14" s="21" t="n">
        <v>48.1</v>
      </c>
      <c r="N14" s="24" t="n">
        <v>21500</v>
      </c>
      <c r="O14" s="21" t="inlineStr">
        <is>
          <t>12,700–34,800</t>
        </is>
      </c>
      <c r="P14" s="24" t="n">
        <v>19000</v>
      </c>
      <c r="Q14" s="24" t="n">
        <v>123</v>
      </c>
      <c r="R14" s="21" t="n">
        <v>16.2</v>
      </c>
      <c r="S14" s="20" t="inlineStr"/>
      <c r="T14" s="20" t="inlineStr">
        <is>
          <t>In 2023, air pollution was linked to about 21,500 deaths in Spain and 4,700 in Portugal.</t>
        </is>
      </c>
    </row>
    <row r="15">
      <c r="A15" s="6" t="n">
        <v>7</v>
      </c>
      <c r="B15" s="6" t="inlineStr">
        <is>
          <t>iberia-2025</t>
        </is>
      </c>
      <c r="C15" s="6" t="inlineStr">
        <is>
          <t>Portugal</t>
        </is>
      </c>
      <c r="D15" s="8" t="n">
        <v>9.109999999999999</v>
      </c>
      <c r="E15" s="8" t="n">
        <v>10.1</v>
      </c>
      <c r="F15" s="8" t="n">
        <v>8.279999999999999</v>
      </c>
      <c r="G15" s="8" t="n">
        <v>9.24</v>
      </c>
      <c r="H15" s="8" t="n">
        <v>8.77</v>
      </c>
      <c r="I15" s="8" t="inlineStr">
        <is>
          <t>8.39–9.11</t>
        </is>
      </c>
      <c r="J15" s="25">
        <f>IFERROR(H15/D15-1,"")</f>
        <v/>
      </c>
      <c r="K15" s="26">
        <f>H15/WHO_PM25_ANNUAL</f>
        <v/>
      </c>
      <c r="L15" s="8" t="n">
        <v>1</v>
      </c>
      <c r="M15" s="8" t="n">
        <v>39.8</v>
      </c>
      <c r="N15" s="27" t="n">
        <v>4710</v>
      </c>
      <c r="O15" s="8" t="inlineStr">
        <is>
          <t>2,550–7,860</t>
        </is>
      </c>
      <c r="P15" s="27" t="n">
        <v>4380</v>
      </c>
      <c r="Q15" s="27" t="n">
        <v>29</v>
      </c>
      <c r="R15" s="8" t="n">
        <v>14.6</v>
      </c>
      <c r="S15" s="6" t="inlineStr"/>
      <c r="T15" s="6" t="n"/>
    </row>
    <row r="16">
      <c r="A16" s="20" t="n">
        <v>8</v>
      </c>
      <c r="B16" s="20" t="inlineStr">
        <is>
          <t>igp-november</t>
        </is>
      </c>
      <c r="C16" s="20" t="inlineStr">
        <is>
          <t>India</t>
        </is>
      </c>
      <c r="D16" s="21" t="n">
        <v>52.3</v>
      </c>
      <c r="E16" s="21" t="n">
        <v>51.4</v>
      </c>
      <c r="F16" s="21" t="n">
        <v>53.6</v>
      </c>
      <c r="G16" s="21" t="n">
        <v>50.7</v>
      </c>
      <c r="H16" s="21" t="n">
        <v>54.1</v>
      </c>
      <c r="I16" s="21" t="inlineStr">
        <is>
          <t>53.7–54.4</t>
        </is>
      </c>
      <c r="J16" s="22">
        <f>IFERROR(H16/D16-1,"")</f>
        <v/>
      </c>
      <c r="K16" s="23">
        <f>H16/WHO_PM25_ANNUAL</f>
        <v/>
      </c>
      <c r="L16" s="21" t="n">
        <v>41.8</v>
      </c>
      <c r="M16" s="21" t="n">
        <v>67.2</v>
      </c>
      <c r="N16" s="24" t="n">
        <v>2006000</v>
      </c>
      <c r="O16" s="21" t="inlineStr">
        <is>
          <t>1,667,000–2,359,000</t>
        </is>
      </c>
      <c r="P16" s="24" t="n">
        <v>969700</v>
      </c>
      <c r="Q16" s="24" t="n">
        <v>937800</v>
      </c>
      <c r="R16" s="21" t="n">
        <v>186</v>
      </c>
      <c r="S16" s="20" t="inlineStr">
        <is>
          <t>p.4, 24: &gt;2 million deaths</t>
        </is>
      </c>
      <c r="T16" s="20" t="inlineStr">
        <is>
          <t>In 2023, air pollution was linked to about 2 million deaths in India and 248,000 in Pakistan. In India, household cooking smoke accounted for 938,000 of them, almost as many as outdoor PM2.5 (970,000).</t>
        </is>
      </c>
    </row>
    <row r="17">
      <c r="A17" s="6" t="n">
        <v>8</v>
      </c>
      <c r="B17" s="6" t="inlineStr">
        <is>
          <t>igp-november</t>
        </is>
      </c>
      <c r="C17" s="6" t="inlineStr">
        <is>
          <t>Pakistan</t>
        </is>
      </c>
      <c r="D17" s="8" t="n">
        <v>54.3</v>
      </c>
      <c r="E17" s="8" t="n">
        <v>57.7</v>
      </c>
      <c r="F17" s="8" t="n">
        <v>53.5</v>
      </c>
      <c r="G17" s="8" t="n">
        <v>57.9</v>
      </c>
      <c r="H17" s="8" t="n">
        <v>58.4</v>
      </c>
      <c r="I17" s="8" t="inlineStr">
        <is>
          <t>57.9–59</t>
        </is>
      </c>
      <c r="J17" s="25">
        <f>IFERROR(H17/D17-1,"")</f>
        <v/>
      </c>
      <c r="K17" s="26">
        <f>H17/WHO_PM25_ANNUAL</f>
        <v/>
      </c>
      <c r="L17" s="8" t="n">
        <v>46</v>
      </c>
      <c r="M17" s="8" t="n">
        <v>64.09999999999999</v>
      </c>
      <c r="N17" s="27" t="n">
        <v>247900</v>
      </c>
      <c r="O17" s="8" t="inlineStr">
        <is>
          <t>206,700–286,700</t>
        </is>
      </c>
      <c r="P17" s="27" t="n">
        <v>99100</v>
      </c>
      <c r="Q17" s="27" t="n">
        <v>143500</v>
      </c>
      <c r="R17" s="8" t="n">
        <v>177</v>
      </c>
      <c r="S17" s="6" t="inlineStr">
        <is>
          <t>p.4, 24: &gt;200,000 deaths</t>
        </is>
      </c>
      <c r="T17" s="6" t="n"/>
    </row>
    <row r="18">
      <c r="A18" s="20" t="n">
        <v>9</v>
      </c>
      <c r="B18" s="20" t="inlineStr">
        <is>
          <t>harmattan</t>
        </is>
      </c>
      <c r="C18" s="20" t="inlineStr">
        <is>
          <t>Niger</t>
        </is>
      </c>
      <c r="D18" s="21" t="n">
        <v>57.1</v>
      </c>
      <c r="E18" s="21" t="n">
        <v>82.59999999999999</v>
      </c>
      <c r="F18" s="21" t="n">
        <v>55.5</v>
      </c>
      <c r="G18" s="21" t="n">
        <v>74.59999999999999</v>
      </c>
      <c r="H18" s="21" t="n">
        <v>65.2</v>
      </c>
      <c r="I18" s="21" t="inlineStr">
        <is>
          <t>64.6–65.8</t>
        </is>
      </c>
      <c r="J18" s="22">
        <f>IFERROR(H18/D18-1,"")</f>
        <v/>
      </c>
      <c r="K18" s="23">
        <f>H18/WHO_PM25_ANNUAL</f>
        <v/>
      </c>
      <c r="L18" s="21" t="n">
        <v>97.40000000000001</v>
      </c>
      <c r="M18" s="21" t="n">
        <v>48.6</v>
      </c>
      <c r="N18" s="24" t="n">
        <v>33500</v>
      </c>
      <c r="O18" s="21" t="inlineStr">
        <is>
          <t>25,200–41,700</t>
        </is>
      </c>
      <c r="P18" s="24" t="n">
        <v>5720</v>
      </c>
      <c r="Q18" s="24" t="n">
        <v>27500</v>
      </c>
      <c r="R18" s="21" t="n">
        <v>230</v>
      </c>
      <c r="S18" s="20" t="inlineStr"/>
      <c r="T18" s="20" t="inlineStr">
        <is>
          <t>Niger's yearly PM2.5 was 65 µg/m³ in 2023, 13 times the WHO annual guideline, much of it Saharan dust. 97% of people there also cook with solid fuels.</t>
        </is>
      </c>
    </row>
    <row r="19">
      <c r="A19" s="6" t="n">
        <v>9</v>
      </c>
      <c r="B19" s="6" t="inlineStr">
        <is>
          <t>harmattan</t>
        </is>
      </c>
      <c r="C19" s="6" t="inlineStr">
        <is>
          <t>Nigeria</t>
        </is>
      </c>
      <c r="D19" s="8" t="n">
        <v>52.2</v>
      </c>
      <c r="E19" s="8" t="n">
        <v>75.09999999999999</v>
      </c>
      <c r="F19" s="8" t="n">
        <v>56.2</v>
      </c>
      <c r="G19" s="8" t="n">
        <v>70.59999999999999</v>
      </c>
      <c r="H19" s="8" t="n">
        <v>65.7</v>
      </c>
      <c r="I19" s="8" t="inlineStr">
        <is>
          <t>65.2–66.4</t>
        </is>
      </c>
      <c r="J19" s="25">
        <f>IFERROR(H19/D19-1,"")</f>
        <v/>
      </c>
      <c r="K19" s="26">
        <f>H19/WHO_PM25_ANNUAL</f>
        <v/>
      </c>
      <c r="L19" s="8" t="n">
        <v>66.59999999999999</v>
      </c>
      <c r="M19" s="8" t="n">
        <v>53.6</v>
      </c>
      <c r="N19" s="27" t="n">
        <v>205800</v>
      </c>
      <c r="O19" s="8" t="inlineStr">
        <is>
          <t>161,900–243,200</t>
        </is>
      </c>
      <c r="P19" s="27" t="n">
        <v>81600</v>
      </c>
      <c r="Q19" s="27" t="n">
        <v>123000</v>
      </c>
      <c r="R19" s="8" t="n">
        <v>151</v>
      </c>
      <c r="S19" s="6" t="inlineStr">
        <is>
          <t>p.4, 24: &gt;200,000 deaths</t>
        </is>
      </c>
      <c r="T19" s="6" t="n"/>
    </row>
    <row r="20">
      <c r="A20" s="6" t="n">
        <v>9</v>
      </c>
      <c r="B20" s="6" t="inlineStr">
        <is>
          <t>harmattan</t>
        </is>
      </c>
      <c r="C20" s="6" t="inlineStr">
        <is>
          <t>Chad</t>
        </is>
      </c>
      <c r="D20" s="8" t="n">
        <v>42.9</v>
      </c>
      <c r="E20" s="8" t="n">
        <v>53</v>
      </c>
      <c r="F20" s="8" t="n">
        <v>41.6</v>
      </c>
      <c r="G20" s="8" t="n">
        <v>42.4</v>
      </c>
      <c r="H20" s="8" t="n">
        <v>43</v>
      </c>
      <c r="I20" s="8" t="inlineStr">
        <is>
          <t>42.6–43.4</t>
        </is>
      </c>
      <c r="J20" s="25">
        <f>IFERROR(H20/D20-1,"")</f>
        <v/>
      </c>
      <c r="K20" s="26">
        <f>H20/WHO_PM25_ANNUAL</f>
        <v/>
      </c>
      <c r="L20" s="8" t="n">
        <v>95.40000000000001</v>
      </c>
      <c r="M20" s="8" t="n">
        <v>47.8</v>
      </c>
      <c r="N20" s="27" t="n">
        <v>23900</v>
      </c>
      <c r="O20" s="8" t="inlineStr">
        <is>
          <t>19,100–28,500</t>
        </is>
      </c>
      <c r="P20" s="27" t="n">
        <v>3990</v>
      </c>
      <c r="Q20" s="27" t="n">
        <v>20200</v>
      </c>
      <c r="R20" s="8" t="n">
        <v>246</v>
      </c>
      <c r="S20" s="6" t="inlineStr"/>
      <c r="T20" s="6" t="n"/>
    </row>
    <row r="21">
      <c r="A21" s="20" t="n">
        <v>10</v>
      </c>
      <c r="B21" s="20" t="inlineStr">
        <is>
          <t>sahel-burning</t>
        </is>
      </c>
      <c r="C21" s="20" t="inlineStr">
        <is>
          <t>Central African Republic</t>
        </is>
      </c>
      <c r="D21" s="21" t="n">
        <v>38.2</v>
      </c>
      <c r="E21" s="21" t="n">
        <v>37.4</v>
      </c>
      <c r="F21" s="21" t="n">
        <v>34</v>
      </c>
      <c r="G21" s="21" t="n">
        <v>32.6</v>
      </c>
      <c r="H21" s="21" t="n">
        <v>33.3</v>
      </c>
      <c r="I21" s="21" t="inlineStr">
        <is>
          <t>32.6–34.1</t>
        </is>
      </c>
      <c r="J21" s="22">
        <f>IFERROR(H21/D21-1,"")</f>
        <v/>
      </c>
      <c r="K21" s="23">
        <f>H21/WHO_PM25_ANNUAL</f>
        <v/>
      </c>
      <c r="L21" s="21" t="n">
        <v>99.3</v>
      </c>
      <c r="M21" s="21" t="n">
        <v>54.2</v>
      </c>
      <c r="N21" s="24" t="n">
        <v>9220</v>
      </c>
      <c r="O21" s="21" t="inlineStr">
        <is>
          <t>6,990–11,200</t>
        </is>
      </c>
      <c r="P21" s="24" t="n">
        <v>941</v>
      </c>
      <c r="Q21" s="24" t="n">
        <v>8190</v>
      </c>
      <c r="R21" s="21" t="n">
        <v>249</v>
      </c>
      <c r="S21" s="20" t="inlineStr">
        <is>
          <t>p.16: &gt;99% exposed to household smoke</t>
        </is>
      </c>
      <c r="T21" s="20" t="inlineStr">
        <is>
          <t>In the Central African Republic, 99% of people cook with wood, charcoal or other solid fuels (2023), among the highest shares in the world.</t>
        </is>
      </c>
    </row>
    <row r="22">
      <c r="A22" s="6" t="n">
        <v>10</v>
      </c>
      <c r="B22" s="6" t="inlineStr">
        <is>
          <t>sahel-burning</t>
        </is>
      </c>
      <c r="C22" s="6" t="inlineStr">
        <is>
          <t>Cameroon</t>
        </is>
      </c>
      <c r="D22" s="8" t="n">
        <v>52.8</v>
      </c>
      <c r="E22" s="8" t="n">
        <v>61.7</v>
      </c>
      <c r="F22" s="8" t="n">
        <v>52.9</v>
      </c>
      <c r="G22" s="8" t="n">
        <v>56.6</v>
      </c>
      <c r="H22" s="8" t="n">
        <v>55.6</v>
      </c>
      <c r="I22" s="8" t="inlineStr">
        <is>
          <t>54.3–56.9</t>
        </is>
      </c>
      <c r="J22" s="25">
        <f>IFERROR(H22/D22-1,"")</f>
        <v/>
      </c>
      <c r="K22" s="26">
        <f>H22/WHO_PM25_ANNUAL</f>
        <v/>
      </c>
      <c r="L22" s="8" t="n">
        <v>71.5</v>
      </c>
      <c r="M22" s="8" t="n">
        <v>51.1</v>
      </c>
      <c r="N22" s="27" t="n">
        <v>28100</v>
      </c>
      <c r="O22" s="8" t="inlineStr">
        <is>
          <t>21,900–34,100</t>
        </is>
      </c>
      <c r="P22" s="27" t="n">
        <v>7770</v>
      </c>
      <c r="Q22" s="27" t="n">
        <v>20500</v>
      </c>
      <c r="R22" s="8" t="n">
        <v>185</v>
      </c>
      <c r="S22" s="6" t="inlineStr"/>
      <c r="T22" s="6" t="n"/>
    </row>
    <row r="23">
      <c r="A23" s="6" t="n">
        <v>10</v>
      </c>
      <c r="B23" s="6" t="inlineStr">
        <is>
          <t>sahel-burning</t>
        </is>
      </c>
      <c r="C23" s="6" t="inlineStr">
        <is>
          <t>Nigeria</t>
        </is>
      </c>
      <c r="D23" s="8" t="n">
        <v>52.2</v>
      </c>
      <c r="E23" s="8" t="n">
        <v>75.09999999999999</v>
      </c>
      <c r="F23" s="8" t="n">
        <v>56.2</v>
      </c>
      <c r="G23" s="8" t="n">
        <v>70.59999999999999</v>
      </c>
      <c r="H23" s="8" t="n">
        <v>65.7</v>
      </c>
      <c r="I23" s="8" t="inlineStr">
        <is>
          <t>65.2–66.4</t>
        </is>
      </c>
      <c r="J23" s="25">
        <f>IFERROR(H23/D23-1,"")</f>
        <v/>
      </c>
      <c r="K23" s="26">
        <f>H23/WHO_PM25_ANNUAL</f>
        <v/>
      </c>
      <c r="L23" s="8" t="n">
        <v>66.59999999999999</v>
      </c>
      <c r="M23" s="8" t="n">
        <v>53.6</v>
      </c>
      <c r="N23" s="27" t="n">
        <v>205800</v>
      </c>
      <c r="O23" s="8" t="inlineStr">
        <is>
          <t>161,900–243,200</t>
        </is>
      </c>
      <c r="P23" s="27" t="n">
        <v>81600</v>
      </c>
      <c r="Q23" s="27" t="n">
        <v>123000</v>
      </c>
      <c r="R23" s="8" t="n">
        <v>151</v>
      </c>
      <c r="S23" s="6" t="inlineStr">
        <is>
          <t>p.4, 24: &gt;200,000 deaths</t>
        </is>
      </c>
      <c r="T23" s="6" t="n"/>
    </row>
    <row r="24">
      <c r="A24" s="20" t="n">
        <v>11</v>
      </c>
      <c r="B24" s="20" t="inlineStr">
        <is>
          <t>saharan-dust-caribbean</t>
        </is>
      </c>
      <c r="C24" s="20" t="inlineStr">
        <is>
          <t>Puerto Rico</t>
        </is>
      </c>
      <c r="D24" s="21" t="n">
        <v>6.54</v>
      </c>
      <c r="E24" s="21" t="n">
        <v>6.69</v>
      </c>
      <c r="F24" s="21" t="n">
        <v>7.82</v>
      </c>
      <c r="G24" s="21" t="n">
        <v>6.34</v>
      </c>
      <c r="H24" s="21" t="n">
        <v>7.84</v>
      </c>
      <c r="I24" s="21" t="inlineStr">
        <is>
          <t>7.03–8.79</t>
        </is>
      </c>
      <c r="J24" s="22">
        <f>IFERROR(H24/D24-1,"")</f>
        <v/>
      </c>
      <c r="K24" s="23">
        <f>H24/WHO_PM25_ANNUAL</f>
        <v/>
      </c>
      <c r="L24" s="21" t="n">
        <v>0.06</v>
      </c>
      <c r="M24" s="21" t="n">
        <v>24.6</v>
      </c>
      <c r="N24" s="24" t="n">
        <v>915</v>
      </c>
      <c r="O24" s="21" t="inlineStr">
        <is>
          <t>455–1560</t>
        </is>
      </c>
      <c r="P24" s="24" t="n">
        <v>908</v>
      </c>
      <c r="Q24" s="24" t="n">
        <v>2.18</v>
      </c>
      <c r="R24" s="21" t="n">
        <v>9.66</v>
      </c>
      <c r="S24" s="20" t="inlineStr"/>
      <c r="T24" s="20" t="inlineStr">
        <is>
          <t>Puerto Rico's yearly PM2.5 was 7.8 µg/m³ in 2023 and Cuba's 9.5, among the lowest of the countries in this deck.</t>
        </is>
      </c>
    </row>
    <row r="25">
      <c r="A25" s="6" t="n">
        <v>11</v>
      </c>
      <c r="B25" s="6" t="inlineStr">
        <is>
          <t>saharan-dust-caribbean</t>
        </is>
      </c>
      <c r="C25" s="6" t="inlineStr">
        <is>
          <t>Cuba</t>
        </is>
      </c>
      <c r="D25" s="8" t="n">
        <v>9.42</v>
      </c>
      <c r="E25" s="8" t="n">
        <v>9.35</v>
      </c>
      <c r="F25" s="8" t="n">
        <v>9.26</v>
      </c>
      <c r="G25" s="8" t="n">
        <v>9.41</v>
      </c>
      <c r="H25" s="8" t="n">
        <v>9.449999999999999</v>
      </c>
      <c r="I25" s="8" t="inlineStr">
        <is>
          <t>9.18–9.66</t>
        </is>
      </c>
      <c r="J25" s="25">
        <f>IFERROR(H25/D25-1,"")</f>
        <v/>
      </c>
      <c r="K25" s="26">
        <f>H25/WHO_PM25_ANNUAL</f>
        <v/>
      </c>
      <c r="L25" s="8" t="n">
        <v>1.17</v>
      </c>
      <c r="M25" s="8" t="n">
        <v>34.2</v>
      </c>
      <c r="N25" s="27" t="n">
        <v>5120</v>
      </c>
      <c r="O25" s="8" t="inlineStr">
        <is>
          <t>3,260–7,370</t>
        </is>
      </c>
      <c r="P25" s="27" t="n">
        <v>4690</v>
      </c>
      <c r="Q25" s="27" t="n">
        <v>262</v>
      </c>
      <c r="R25" s="8" t="n">
        <v>24.3</v>
      </c>
      <c r="S25" s="6" t="inlineStr"/>
      <c r="T25" s="6" t="n"/>
    </row>
    <row r="26">
      <c r="A26" s="6" t="n">
        <v>11</v>
      </c>
      <c r="B26" s="6" t="inlineStr">
        <is>
          <t>saharan-dust-caribbean</t>
        </is>
      </c>
      <c r="C26" s="6" t="inlineStr">
        <is>
          <t>Dominican Republic</t>
        </is>
      </c>
      <c r="D26" s="8" t="n">
        <v>12.1</v>
      </c>
      <c r="E26" s="8" t="n">
        <v>13</v>
      </c>
      <c r="F26" s="8" t="n">
        <v>13.3</v>
      </c>
      <c r="G26" s="8" t="n">
        <v>12.8</v>
      </c>
      <c r="H26" s="8" t="n">
        <v>13.5</v>
      </c>
      <c r="I26" s="8" t="inlineStr">
        <is>
          <t>13.1–13.9</t>
        </is>
      </c>
      <c r="J26" s="25">
        <f>IFERROR(H26/D26-1,"")</f>
        <v/>
      </c>
      <c r="K26" s="26">
        <f>H26/WHO_PM25_ANNUAL</f>
        <v/>
      </c>
      <c r="L26" s="8" t="n">
        <v>6.53</v>
      </c>
      <c r="M26" s="8" t="n">
        <v>33.6</v>
      </c>
      <c r="N26" s="27" t="n">
        <v>5190</v>
      </c>
      <c r="O26" s="8" t="inlineStr">
        <is>
          <t>3,700–6,840</t>
        </is>
      </c>
      <c r="P26" s="27" t="n">
        <v>4520</v>
      </c>
      <c r="Q26" s="27" t="n">
        <v>635</v>
      </c>
      <c r="R26" s="8" t="n">
        <v>54.9</v>
      </c>
      <c r="S26" s="6" t="inlineStr"/>
      <c r="T26" s="6" t="n"/>
    </row>
    <row r="27">
      <c r="A27" s="20" t="n">
        <v>12</v>
      </c>
      <c r="B27" s="20" t="inlineStr">
        <is>
          <t>central-africa-burning</t>
        </is>
      </c>
      <c r="C27" s="20" t="inlineStr">
        <is>
          <t>Democratic Republic of the Congo</t>
        </is>
      </c>
      <c r="D27" s="21" t="n">
        <v>41.4</v>
      </c>
      <c r="E27" s="21" t="n">
        <v>40.5</v>
      </c>
      <c r="F27" s="21" t="n">
        <v>37.4</v>
      </c>
      <c r="G27" s="21" t="n">
        <v>36.8</v>
      </c>
      <c r="H27" s="21" t="n">
        <v>35.8</v>
      </c>
      <c r="I27" s="21" t="inlineStr">
        <is>
          <t>35.5–36.1</t>
        </is>
      </c>
      <c r="J27" s="22">
        <f>IFERROR(H27/D27-1,"")</f>
        <v/>
      </c>
      <c r="K27" s="23">
        <f>H27/WHO_PM25_ANNUAL</f>
        <v/>
      </c>
      <c r="L27" s="21" t="n">
        <v>91.09999999999999</v>
      </c>
      <c r="M27" s="21" t="n">
        <v>48.3</v>
      </c>
      <c r="N27" s="24" t="n">
        <v>89600</v>
      </c>
      <c r="O27" s="21" t="inlineStr">
        <is>
          <t>67,300–106,800</t>
        </is>
      </c>
      <c r="P27" s="24" t="n">
        <v>11400</v>
      </c>
      <c r="Q27" s="24" t="n">
        <v>77100</v>
      </c>
      <c r="R27" s="21" t="n">
        <v>211</v>
      </c>
      <c r="S27" s="20" t="inlineStr"/>
      <c r="T27" s="20" t="inlineStr">
        <is>
          <t>In DR Congo, 91% of people cook with solid fuels. Of about 90,000 deaths linked to air pollution there in 2023, 77,000 were from household smoke.</t>
        </is>
      </c>
    </row>
    <row r="28">
      <c r="A28" s="6" t="n">
        <v>12</v>
      </c>
      <c r="B28" s="6" t="inlineStr">
        <is>
          <t>central-africa-burning</t>
        </is>
      </c>
      <c r="C28" s="6" t="inlineStr">
        <is>
          <t>Angola</t>
        </is>
      </c>
      <c r="D28" s="8" t="n">
        <v>22.6</v>
      </c>
      <c r="E28" s="8" t="n">
        <v>21.2</v>
      </c>
      <c r="F28" s="8" t="n">
        <v>22.2</v>
      </c>
      <c r="G28" s="8" t="n">
        <v>22.5</v>
      </c>
      <c r="H28" s="8" t="n">
        <v>19.9</v>
      </c>
      <c r="I28" s="8" t="inlineStr">
        <is>
          <t>19.2–20.6</t>
        </is>
      </c>
      <c r="J28" s="25">
        <f>IFERROR(H28/D28-1,"")</f>
        <v/>
      </c>
      <c r="K28" s="26">
        <f>H28/WHO_PM25_ANNUAL</f>
        <v/>
      </c>
      <c r="L28" s="8" t="n">
        <v>28.6</v>
      </c>
      <c r="M28" s="8" t="n">
        <v>42.5</v>
      </c>
      <c r="N28" s="27" t="n">
        <v>18300</v>
      </c>
      <c r="O28" s="8" t="inlineStr">
        <is>
          <t>14,100–22,300</t>
        </is>
      </c>
      <c r="P28" s="27" t="n">
        <v>6730</v>
      </c>
      <c r="Q28" s="27" t="n">
        <v>11300</v>
      </c>
      <c r="R28" s="8" t="n">
        <v>108</v>
      </c>
      <c r="S28" s="6" t="inlineStr"/>
      <c r="T28" s="6" t="n"/>
    </row>
    <row r="29">
      <c r="A29" s="6" t="n">
        <v>12</v>
      </c>
      <c r="B29" s="6" t="inlineStr">
        <is>
          <t>central-africa-burning</t>
        </is>
      </c>
      <c r="C29" s="6" t="inlineStr">
        <is>
          <t>Zambia</t>
        </is>
      </c>
      <c r="D29" s="8" t="n">
        <v>22.1</v>
      </c>
      <c r="E29" s="8" t="n">
        <v>22.8</v>
      </c>
      <c r="F29" s="8" t="n">
        <v>22.1</v>
      </c>
      <c r="G29" s="8" t="n">
        <v>23.5</v>
      </c>
      <c r="H29" s="8" t="n">
        <v>20.2</v>
      </c>
      <c r="I29" s="8" t="inlineStr">
        <is>
          <t>20–20.6</t>
        </is>
      </c>
      <c r="J29" s="25">
        <f>IFERROR(H29/D29-1,"")</f>
        <v/>
      </c>
      <c r="K29" s="26">
        <f>H29/WHO_PM25_ANNUAL</f>
        <v/>
      </c>
      <c r="L29" s="8" t="n">
        <v>84.90000000000001</v>
      </c>
      <c r="M29" s="8" t="n">
        <v>43.7</v>
      </c>
      <c r="N29" s="27" t="n">
        <v>13800</v>
      </c>
      <c r="O29" s="8" t="inlineStr">
        <is>
          <t>10,600–16,800</t>
        </is>
      </c>
      <c r="P29" s="27" t="n">
        <v>2000</v>
      </c>
      <c r="Q29" s="27" t="n">
        <v>11700</v>
      </c>
      <c r="R29" s="8" t="n">
        <v>172</v>
      </c>
      <c r="S29" s="6" t="inlineStr"/>
      <c r="T29" s="6" t="n"/>
    </row>
    <row r="30">
      <c r="A30" s="20" t="n">
        <v>13</v>
      </c>
      <c r="B30" s="20" t="inlineStr">
        <is>
          <t>mainland-sea-burning</t>
        </is>
      </c>
      <c r="C30" s="20" t="inlineStr">
        <is>
          <t>Myanmar</t>
        </is>
      </c>
      <c r="D30" s="21" t="n">
        <v>36.1</v>
      </c>
      <c r="E30" s="21" t="n">
        <v>34.6</v>
      </c>
      <c r="F30" s="21" t="n">
        <v>36.7</v>
      </c>
      <c r="G30" s="21" t="n">
        <v>32.8</v>
      </c>
      <c r="H30" s="21" t="n">
        <v>35.1</v>
      </c>
      <c r="I30" s="21" t="inlineStr">
        <is>
          <t>34.8–35.4</t>
        </is>
      </c>
      <c r="J30" s="22">
        <f>IFERROR(H30/D30-1,"")</f>
        <v/>
      </c>
      <c r="K30" s="23">
        <f>H30/WHO_PM25_ANNUAL</f>
        <v/>
      </c>
      <c r="L30" s="21" t="n">
        <v>75.3</v>
      </c>
      <c r="M30" s="21" t="n">
        <v>42.6</v>
      </c>
      <c r="N30" s="24" t="n">
        <v>125900</v>
      </c>
      <c r="O30" s="21" t="inlineStr">
        <is>
          <t>103,800–149,300</t>
        </is>
      </c>
      <c r="P30" s="24" t="n">
        <v>36500</v>
      </c>
      <c r="Q30" s="24" t="n">
        <v>88000</v>
      </c>
      <c r="R30" s="21" t="n">
        <v>286</v>
      </c>
      <c r="S30" s="20" t="inlineStr">
        <is>
          <t>p.4, 24: &gt;100,000 deaths</t>
        </is>
      </c>
      <c r="T30" s="20" t="inlineStr">
        <is>
          <t>Death rates linked to air pollution in Myanmar (286 per 100,000) and Laos (272) are about three times the world rate of 92 (2023). Most of it is household cooking smoke.</t>
        </is>
      </c>
    </row>
    <row r="31">
      <c r="A31" s="6" t="n">
        <v>13</v>
      </c>
      <c r="B31" s="6" t="inlineStr">
        <is>
          <t>mainland-sea-burning</t>
        </is>
      </c>
      <c r="C31" s="6" t="inlineStr">
        <is>
          <t>Lao People's Democratic Republic</t>
        </is>
      </c>
      <c r="D31" s="8" t="n">
        <v>28.5</v>
      </c>
      <c r="E31" s="8" t="n">
        <v>26.3</v>
      </c>
      <c r="F31" s="8" t="n">
        <v>27.9</v>
      </c>
      <c r="G31" s="8" t="n">
        <v>25.3</v>
      </c>
      <c r="H31" s="8" t="n">
        <v>26</v>
      </c>
      <c r="I31" s="8" t="inlineStr">
        <is>
          <t>25.6–26.4</t>
        </is>
      </c>
      <c r="J31" s="25">
        <f>IFERROR(H31/D31-1,"")</f>
        <v/>
      </c>
      <c r="K31" s="26">
        <f>H31/WHO_PM25_ANNUAL</f>
        <v/>
      </c>
      <c r="L31" s="8" t="n">
        <v>97</v>
      </c>
      <c r="M31" s="8" t="n">
        <v>42.3</v>
      </c>
      <c r="N31" s="27" t="n">
        <v>12800</v>
      </c>
      <c r="O31" s="8" t="inlineStr">
        <is>
          <t>10,000–15,100</t>
        </is>
      </c>
      <c r="P31" s="27" t="n">
        <v>3060</v>
      </c>
      <c r="Q31" s="27" t="n">
        <v>9690</v>
      </c>
      <c r="R31" s="8" t="n">
        <v>272</v>
      </c>
      <c r="S31" s="6" t="inlineStr"/>
      <c r="T31" s="6" t="n"/>
    </row>
    <row r="32">
      <c r="A32" s="6" t="n">
        <v>13</v>
      </c>
      <c r="B32" s="6" t="inlineStr">
        <is>
          <t>mainland-sea-burning</t>
        </is>
      </c>
      <c r="C32" s="6" t="inlineStr">
        <is>
          <t>Thailand</t>
        </is>
      </c>
      <c r="D32" s="8" t="n">
        <v>27.2</v>
      </c>
      <c r="E32" s="8" t="n">
        <v>23.6</v>
      </c>
      <c r="F32" s="8" t="n">
        <v>24</v>
      </c>
      <c r="G32" s="8" t="n">
        <v>23.7</v>
      </c>
      <c r="H32" s="8" t="n">
        <v>23.5</v>
      </c>
      <c r="I32" s="8" t="inlineStr">
        <is>
          <t>22.9–24.1</t>
        </is>
      </c>
      <c r="J32" s="25">
        <f>IFERROR(H32/D32-1,"")</f>
        <v/>
      </c>
      <c r="K32" s="26">
        <f>H32/WHO_PM25_ANNUAL</f>
        <v/>
      </c>
      <c r="L32" s="8" t="n">
        <v>12.4</v>
      </c>
      <c r="M32" s="8" t="n">
        <v>46.3</v>
      </c>
      <c r="N32" s="27" t="n">
        <v>54700</v>
      </c>
      <c r="O32" s="8" t="inlineStr">
        <is>
          <t>40,600–73,500</t>
        </is>
      </c>
      <c r="P32" s="27" t="n">
        <v>50900</v>
      </c>
      <c r="Q32" s="27" t="n">
        <v>2160</v>
      </c>
      <c r="R32" s="8" t="n">
        <v>48</v>
      </c>
      <c r="S32" s="6" t="inlineStr"/>
      <c r="T32" s="6" t="n"/>
    </row>
    <row r="33">
      <c r="A33" s="20" t="n">
        <v>14</v>
      </c>
      <c r="B33" s="20" t="inlineStr">
        <is>
          <t>mexico-burning</t>
        </is>
      </c>
      <c r="C33" s="20" t="inlineStr">
        <is>
          <t>Mexico</t>
        </is>
      </c>
      <c r="D33" s="21" t="n">
        <v>17.6</v>
      </c>
      <c r="E33" s="21" t="n">
        <v>17</v>
      </c>
      <c r="F33" s="21" t="n">
        <v>17.1</v>
      </c>
      <c r="G33" s="21" t="n">
        <v>16.6</v>
      </c>
      <c r="H33" s="21" t="n">
        <v>16.6</v>
      </c>
      <c r="I33" s="21" t="inlineStr">
        <is>
          <t>16.1–17.1</t>
        </is>
      </c>
      <c r="J33" s="22">
        <f>IFERROR(H33/D33-1,"")</f>
        <v/>
      </c>
      <c r="K33" s="23">
        <f>H33/WHO_PM25_ANNUAL</f>
        <v/>
      </c>
      <c r="L33" s="21" t="n">
        <v>10.5</v>
      </c>
      <c r="M33" s="21" t="n">
        <v>42.8</v>
      </c>
      <c r="N33" s="24" t="n">
        <v>61400</v>
      </c>
      <c r="O33" s="21" t="inlineStr">
        <is>
          <t>46,700–76,800</t>
        </is>
      </c>
      <c r="P33" s="24" t="n">
        <v>54100</v>
      </c>
      <c r="Q33" s="24" t="n">
        <v>5580</v>
      </c>
      <c r="R33" s="21" t="n">
        <v>47.9</v>
      </c>
      <c r="S33" s="20" t="inlineStr"/>
      <c r="T33" s="20" t="inlineStr">
        <is>
          <t>In Guatemala, 47% of people cook with solid fuels; in Mexico, 10.5% (2023).</t>
        </is>
      </c>
    </row>
    <row r="34">
      <c r="A34" s="6" t="n">
        <v>14</v>
      </c>
      <c r="B34" s="6" t="inlineStr">
        <is>
          <t>mexico-burning</t>
        </is>
      </c>
      <c r="C34" s="6" t="inlineStr">
        <is>
          <t>Guatemala</t>
        </is>
      </c>
      <c r="D34" s="8" t="n">
        <v>32</v>
      </c>
      <c r="E34" s="8" t="n">
        <v>26.9</v>
      </c>
      <c r="F34" s="8" t="n">
        <v>29.4</v>
      </c>
      <c r="G34" s="8" t="n">
        <v>28.3</v>
      </c>
      <c r="H34" s="8" t="n">
        <v>29.7</v>
      </c>
      <c r="I34" s="8" t="inlineStr">
        <is>
          <t>26.5–32.8</t>
        </is>
      </c>
      <c r="J34" s="25">
        <f>IFERROR(H34/D34-1,"")</f>
        <v/>
      </c>
      <c r="K34" s="26">
        <f>H34/WHO_PM25_ANNUAL</f>
        <v/>
      </c>
      <c r="L34" s="8" t="n">
        <v>46.8</v>
      </c>
      <c r="M34" s="8" t="n">
        <v>35.1</v>
      </c>
      <c r="N34" s="27" t="n">
        <v>10600</v>
      </c>
      <c r="O34" s="8" t="inlineStr">
        <is>
          <t>8,060–13,000</t>
        </is>
      </c>
      <c r="P34" s="27" t="n">
        <v>4520</v>
      </c>
      <c r="Q34" s="27" t="n">
        <v>6020</v>
      </c>
      <c r="R34" s="8" t="n">
        <v>108</v>
      </c>
      <c r="S34" s="6" t="inlineStr"/>
      <c r="T34" s="6" t="n"/>
    </row>
    <row r="35">
      <c r="A35" s="20" t="n">
        <v>15</v>
      </c>
      <c r="B35" s="20" t="inlineStr">
        <is>
          <t>gobi-dust</t>
        </is>
      </c>
      <c r="C35" s="20" t="inlineStr">
        <is>
          <t>China</t>
        </is>
      </c>
      <c r="D35" s="21" t="n">
        <v>51.7</v>
      </c>
      <c r="E35" s="21" t="n">
        <v>49.5</v>
      </c>
      <c r="F35" s="21" t="n">
        <v>37.2</v>
      </c>
      <c r="G35" s="21" t="n">
        <v>31.9</v>
      </c>
      <c r="H35" s="21" t="n">
        <v>32</v>
      </c>
      <c r="I35" s="21" t="inlineStr">
        <is>
          <t>31.8–32.1</t>
        </is>
      </c>
      <c r="J35" s="22">
        <f>IFERROR(H35/D35-1,"")</f>
        <v/>
      </c>
      <c r="K35" s="23">
        <f>H35/WHO_PM25_ANNUAL</f>
        <v/>
      </c>
      <c r="L35" s="21" t="n">
        <v>32.3</v>
      </c>
      <c r="M35" s="21" t="n">
        <v>48.4</v>
      </c>
      <c r="N35" s="24" t="n">
        <v>2051000</v>
      </c>
      <c r="O35" s="21" t="inlineStr">
        <is>
          <t>1,577,000–2,525,000</t>
        </is>
      </c>
      <c r="P35" s="24" t="n">
        <v>1790000</v>
      </c>
      <c r="Q35" s="24" t="n">
        <v>216800</v>
      </c>
      <c r="R35" s="21" t="n">
        <v>95.3</v>
      </c>
      <c r="S35" s="20" t="inlineStr">
        <is>
          <t>p.4, 24: &gt;2 million deaths</t>
        </is>
      </c>
      <c r="T35" s="20" t="inlineStr">
        <is>
          <t>China's yearly PM2.5 fell from 52 µg/m³ in 2013 to 32 in 2023. Air pollution was still linked to about 2 million deaths there in 2023.</t>
        </is>
      </c>
    </row>
    <row r="36">
      <c r="A36" s="6" t="n">
        <v>15</v>
      </c>
      <c r="B36" s="6" t="inlineStr">
        <is>
          <t>gobi-dust</t>
        </is>
      </c>
      <c r="C36" s="6" t="inlineStr">
        <is>
          <t>Mongolia</t>
        </is>
      </c>
      <c r="D36" s="8" t="n">
        <v>45.4</v>
      </c>
      <c r="E36" s="8" t="n">
        <v>44.9</v>
      </c>
      <c r="F36" s="8" t="n">
        <v>44.2</v>
      </c>
      <c r="G36" s="8" t="n">
        <v>40.9</v>
      </c>
      <c r="H36" s="8" t="n">
        <v>42.7</v>
      </c>
      <c r="I36" s="8" t="inlineStr">
        <is>
          <t>38.3–46.7</t>
        </is>
      </c>
      <c r="J36" s="25">
        <f>IFERROR(H36/D36-1,"")</f>
        <v/>
      </c>
      <c r="K36" s="26">
        <f>H36/WHO_PM25_ANNUAL</f>
        <v/>
      </c>
      <c r="L36" s="8" t="n">
        <v>40.3</v>
      </c>
      <c r="M36" s="8" t="n">
        <v>42.9</v>
      </c>
      <c r="N36" s="27" t="n">
        <v>2460</v>
      </c>
      <c r="O36" s="8" t="inlineStr">
        <is>
          <t>1,930–3,010</t>
        </is>
      </c>
      <c r="P36" s="27" t="n">
        <v>1910</v>
      </c>
      <c r="Q36" s="27" t="n">
        <v>544</v>
      </c>
      <c r="R36" s="8" t="n">
        <v>125</v>
      </c>
      <c r="S36" s="6" t="inlineStr"/>
      <c r="T36" s="6" t="n"/>
    </row>
    <row r="37">
      <c r="A37" s="6" t="n">
        <v>15</v>
      </c>
      <c r="B37" s="6" t="inlineStr">
        <is>
          <t>gobi-dust</t>
        </is>
      </c>
      <c r="C37" s="6" t="inlineStr">
        <is>
          <t>Republic of Korea</t>
        </is>
      </c>
      <c r="D37" s="8" t="n">
        <v>25.1</v>
      </c>
      <c r="E37" s="8" t="n">
        <v>24.5</v>
      </c>
      <c r="F37" s="8" t="n">
        <v>22</v>
      </c>
      <c r="G37" s="8" t="n">
        <v>23.4</v>
      </c>
      <c r="H37" s="8" t="n">
        <v>21.9</v>
      </c>
      <c r="I37" s="8" t="inlineStr">
        <is>
          <t>21.2–22.5</t>
        </is>
      </c>
      <c r="J37" s="25">
        <f>IFERROR(H37/D37-1,"")</f>
        <v/>
      </c>
      <c r="K37" s="26">
        <f>H37/WHO_PM25_ANNUAL</f>
        <v/>
      </c>
      <c r="L37" s="8" t="n">
        <v>0.24</v>
      </c>
      <c r="M37" s="8" t="n">
        <v>59.3</v>
      </c>
      <c r="N37" s="27" t="n">
        <v>36800</v>
      </c>
      <c r="O37" s="8" t="inlineStr">
        <is>
          <t>26,000–53,000</t>
        </is>
      </c>
      <c r="P37" s="27" t="n">
        <v>34800</v>
      </c>
      <c r="Q37" s="27" t="n">
        <v>81.09999999999999</v>
      </c>
      <c r="R37" s="8" t="n">
        <v>37.3</v>
      </c>
      <c r="S37" s="6" t="inlineStr"/>
      <c r="T37" s="6" t="n"/>
    </row>
    <row r="38">
      <c r="A38" s="20" t="n">
        <v>16</v>
      </c>
      <c r="B38" s="20" t="inlineStr">
        <is>
          <t>canada-nwt-2023</t>
        </is>
      </c>
      <c r="C38" s="20" t="inlineStr">
        <is>
          <t>Canada</t>
        </is>
      </c>
      <c r="D38" s="21" t="n">
        <v>7.14</v>
      </c>
      <c r="E38" s="21" t="n">
        <v>7.39</v>
      </c>
      <c r="F38" s="21" t="n">
        <v>6.45</v>
      </c>
      <c r="G38" s="21" t="n">
        <v>6.39</v>
      </c>
      <c r="H38" s="21" t="n">
        <v>6.55</v>
      </c>
      <c r="I38" s="21" t="inlineStr">
        <is>
          <t>6.34–6.77</t>
        </is>
      </c>
      <c r="J38" s="22">
        <f>IFERROR(H38/D38-1,"")</f>
        <v/>
      </c>
      <c r="K38" s="23">
        <f>H38/WHO_PM25_ANNUAL</f>
        <v/>
      </c>
      <c r="L38" s="21" t="n">
        <v>0.16</v>
      </c>
      <c r="M38" s="21" t="n">
        <v>37.2</v>
      </c>
      <c r="N38" s="24" t="n">
        <v>7060</v>
      </c>
      <c r="O38" s="21" t="inlineStr">
        <is>
          <t>3,740–12,200</t>
        </is>
      </c>
      <c r="P38" s="24" t="n">
        <v>6270</v>
      </c>
      <c r="Q38" s="24" t="n">
        <v>29.3</v>
      </c>
      <c r="R38" s="21" t="n">
        <v>8.23</v>
      </c>
      <c r="S38" s="20" t="inlineStr"/>
      <c r="T38" s="20" t="inlineStr">
        <is>
          <t>Same country figures as canada-2023.</t>
        </is>
      </c>
    </row>
    <row r="39">
      <c r="A39" s="20" t="n">
        <v>17</v>
      </c>
      <c r="B39" s="20" t="inlineStr">
        <is>
          <t>indonesia-2023</t>
        </is>
      </c>
      <c r="C39" s="20" t="inlineStr">
        <is>
          <t>Indonesia</t>
        </is>
      </c>
      <c r="D39" s="21" t="n">
        <v>19.4</v>
      </c>
      <c r="E39" s="21" t="n">
        <v>25.6</v>
      </c>
      <c r="F39" s="21" t="n">
        <v>24</v>
      </c>
      <c r="G39" s="21" t="n">
        <v>19.8</v>
      </c>
      <c r="H39" s="21" t="n">
        <v>20.8</v>
      </c>
      <c r="I39" s="21" t="inlineStr">
        <is>
          <t>20.2–21.5</t>
        </is>
      </c>
      <c r="J39" s="22">
        <f>IFERROR(H39/D39-1,"")</f>
        <v/>
      </c>
      <c r="K39" s="23">
        <f>H39/WHO_PM25_ANNUAL</f>
        <v/>
      </c>
      <c r="L39" s="21" t="n">
        <v>18</v>
      </c>
      <c r="M39" s="21" t="n">
        <v>38</v>
      </c>
      <c r="N39" s="24" t="n">
        <v>192100</v>
      </c>
      <c r="O39" s="21" t="inlineStr">
        <is>
          <t>146,200–242,500</t>
        </is>
      </c>
      <c r="P39" s="24" t="n">
        <v>147100</v>
      </c>
      <c r="Q39" s="24" t="n">
        <v>42700</v>
      </c>
      <c r="R39" s="21" t="n">
        <v>82.2</v>
      </c>
      <c r="S39" s="20" t="inlineStr">
        <is>
          <t>p.4, 24: &gt;100,000 deaths</t>
        </is>
      </c>
      <c r="T39" s="20" t="inlineStr">
        <is>
          <t>Indonesia's yearly PM2.5 was 20.8 µg/m³ in 2023, below the haze years 2015 (25.6) and 2019 (24.0).</t>
        </is>
      </c>
    </row>
    <row r="40">
      <c r="A40" s="20" t="n">
        <v>18</v>
      </c>
      <c r="B40" s="20" t="inlineStr">
        <is>
          <t>gulf-shamal</t>
        </is>
      </c>
      <c r="C40" s="20" t="inlineStr">
        <is>
          <t>Saudi Arabia</t>
        </is>
      </c>
      <c r="D40" s="21" t="n">
        <v>73</v>
      </c>
      <c r="E40" s="21" t="n">
        <v>76.8</v>
      </c>
      <c r="F40" s="21" t="n">
        <v>71.09999999999999</v>
      </c>
      <c r="G40" s="21" t="n">
        <v>77.8</v>
      </c>
      <c r="H40" s="21" t="n">
        <v>73.5</v>
      </c>
      <c r="I40" s="21" t="inlineStr">
        <is>
          <t>72–75</t>
        </is>
      </c>
      <c r="J40" s="22">
        <f>IFERROR(H40/D40-1,"")</f>
        <v/>
      </c>
      <c r="K40" s="23">
        <f>H40/WHO_PM25_ANNUAL</f>
        <v/>
      </c>
      <c r="L40" s="21" t="n">
        <v>0.25</v>
      </c>
      <c r="M40" s="21" t="n">
        <v>58.5</v>
      </c>
      <c r="N40" s="24" t="n">
        <v>14800</v>
      </c>
      <c r="O40" s="21" t="inlineStr">
        <is>
          <t>11,700–17,400</t>
        </is>
      </c>
      <c r="P40" s="24" t="n">
        <v>14600</v>
      </c>
      <c r="Q40" s="24" t="n">
        <v>9.880000000000001</v>
      </c>
      <c r="R40" s="21" t="n">
        <v>152</v>
      </c>
      <c r="S40" s="20" t="inlineStr">
        <is>
          <t>p.9: PM2.5 74 µg/m³</t>
        </is>
      </c>
      <c r="T40" s="20" t="inlineStr">
        <is>
          <t>Saudi Arabia's yearly PM2.5 (74 µg/m³) is the second highest in the world after Qatar (108); the report puts much of it down to windblown dust.</t>
        </is>
      </c>
    </row>
    <row r="41">
      <c r="A41" s="6" t="n">
        <v>18</v>
      </c>
      <c r="B41" s="6" t="inlineStr">
        <is>
          <t>gulf-shamal</t>
        </is>
      </c>
      <c r="C41" s="6" t="inlineStr">
        <is>
          <t>Kuwait</t>
        </is>
      </c>
      <c r="D41" s="8" t="n">
        <v>63.4</v>
      </c>
      <c r="E41" s="8" t="n">
        <v>66.59999999999999</v>
      </c>
      <c r="F41" s="8" t="n">
        <v>57.8</v>
      </c>
      <c r="G41" s="8" t="n">
        <v>74.5</v>
      </c>
      <c r="H41" s="8" t="n">
        <v>62.3</v>
      </c>
      <c r="I41" s="8" t="inlineStr">
        <is>
          <t>49.3–75.4</t>
        </is>
      </c>
      <c r="J41" s="25">
        <f>IFERROR(H41/D41-1,"")</f>
        <v/>
      </c>
      <c r="K41" s="26">
        <f>H41/WHO_PM25_ANNUAL</f>
        <v/>
      </c>
      <c r="L41" s="8" t="n">
        <v>0.09</v>
      </c>
      <c r="M41" s="8" t="n">
        <v>62.4</v>
      </c>
      <c r="N41" s="27" t="n">
        <v>1550</v>
      </c>
      <c r="O41" s="8" t="inlineStr">
        <is>
          <t>1,140–1,930</t>
        </is>
      </c>
      <c r="P41" s="27" t="n">
        <v>1550</v>
      </c>
      <c r="Q41" s="27" t="n">
        <v>0.926</v>
      </c>
      <c r="R41" s="8" t="n">
        <v>82.09999999999999</v>
      </c>
      <c r="S41" s="6" t="inlineStr"/>
      <c r="T41" s="6" t="n"/>
    </row>
    <row r="42">
      <c r="A42" s="6" t="n">
        <v>18</v>
      </c>
      <c r="B42" s="6" t="inlineStr">
        <is>
          <t>gulf-shamal</t>
        </is>
      </c>
      <c r="C42" s="6" t="inlineStr">
        <is>
          <t>Iraq</t>
        </is>
      </c>
      <c r="D42" s="8" t="n">
        <v>51.2</v>
      </c>
      <c r="E42" s="8" t="n">
        <v>52.5</v>
      </c>
      <c r="F42" s="8" t="n">
        <v>45.7</v>
      </c>
      <c r="G42" s="8" t="n">
        <v>59.5</v>
      </c>
      <c r="H42" s="8" t="n">
        <v>49.5</v>
      </c>
      <c r="I42" s="8" t="inlineStr">
        <is>
          <t>48.9–50</t>
        </is>
      </c>
      <c r="J42" s="25">
        <f>IFERROR(H42/D42-1,"")</f>
        <v/>
      </c>
      <c r="K42" s="26">
        <f>H42/WHO_PM25_ANNUAL</f>
        <v/>
      </c>
      <c r="L42" s="8" t="n">
        <v>0.26</v>
      </c>
      <c r="M42" s="8" t="n">
        <v>59.3</v>
      </c>
      <c r="N42" s="27" t="n">
        <v>36000</v>
      </c>
      <c r="O42" s="8" t="inlineStr">
        <is>
          <t>28,800–42,600</t>
        </is>
      </c>
      <c r="P42" s="27" t="n">
        <v>35700</v>
      </c>
      <c r="Q42" s="27" t="n">
        <v>357</v>
      </c>
      <c r="R42" s="8" t="n">
        <v>179</v>
      </c>
      <c r="S42" s="6" t="inlineStr"/>
      <c r="T42" s="6" t="n"/>
    </row>
    <row r="43">
      <c r="A43" s="20" t="n">
        <v>19</v>
      </c>
      <c r="B43" s="20" t="inlineStr">
        <is>
          <t>east-med-dust</t>
        </is>
      </c>
      <c r="C43" s="20" t="inlineStr">
        <is>
          <t>Egypt</t>
        </is>
      </c>
      <c r="D43" s="21" t="n">
        <v>46.6</v>
      </c>
      <c r="E43" s="21" t="n">
        <v>45.7</v>
      </c>
      <c r="F43" s="21" t="n">
        <v>44.6</v>
      </c>
      <c r="G43" s="21" t="n">
        <v>42.2</v>
      </c>
      <c r="H43" s="21" t="n">
        <v>43.1</v>
      </c>
      <c r="I43" s="21" t="inlineStr">
        <is>
          <t>42.6–43.7</t>
        </is>
      </c>
      <c r="J43" s="22">
        <f>IFERROR(H43/D43-1,"")</f>
        <v/>
      </c>
      <c r="K43" s="23">
        <f>H43/WHO_PM25_ANNUAL</f>
        <v/>
      </c>
      <c r="L43" s="21" t="n">
        <v>0.09</v>
      </c>
      <c r="M43" s="21" t="n">
        <v>52.1</v>
      </c>
      <c r="N43" s="24" t="n">
        <v>113100</v>
      </c>
      <c r="O43" s="21" t="inlineStr">
        <is>
          <t>86,700–136,900</t>
        </is>
      </c>
      <c r="P43" s="24" t="n">
        <v>111300</v>
      </c>
      <c r="Q43" s="24" t="n">
        <v>1020</v>
      </c>
      <c r="R43" s="21" t="n">
        <v>224</v>
      </c>
      <c r="S43" s="20" t="inlineStr">
        <is>
          <t>p.4, 24: &gt;100,000 deaths</t>
        </is>
      </c>
      <c r="T43" s="20" t="inlineStr">
        <is>
          <t>In 2023, air pollution was linked to about 113,000 deaths in Egypt, almost all of them from outdoor PM2.5.</t>
        </is>
      </c>
    </row>
    <row r="44">
      <c r="A44" s="6" t="n">
        <v>19</v>
      </c>
      <c r="B44" s="6" t="inlineStr">
        <is>
          <t>east-med-dust</t>
        </is>
      </c>
      <c r="C44" s="6" t="inlineStr">
        <is>
          <t>Libya</t>
        </is>
      </c>
      <c r="D44" s="8" t="n">
        <v>26</v>
      </c>
      <c r="E44" s="8" t="n">
        <v>19.9</v>
      </c>
      <c r="F44" s="8" t="n">
        <v>20</v>
      </c>
      <c r="G44" s="8" t="n">
        <v>23.2</v>
      </c>
      <c r="H44" s="8" t="n">
        <v>20</v>
      </c>
      <c r="I44" s="8" t="inlineStr">
        <is>
          <t>19.6–20.4</t>
        </is>
      </c>
      <c r="J44" s="25">
        <f>IFERROR(H44/D44-1,"")</f>
        <v/>
      </c>
      <c r="K44" s="26">
        <f>H44/WHO_PM25_ANNUAL</f>
        <v/>
      </c>
      <c r="L44" s="8" t="n">
        <v>0.16</v>
      </c>
      <c r="M44" s="8" t="n">
        <v>54.2</v>
      </c>
      <c r="N44" s="27" t="n">
        <v>3270</v>
      </c>
      <c r="O44" s="8" t="inlineStr">
        <is>
          <t>2,330–4,060</t>
        </is>
      </c>
      <c r="P44" s="27" t="n">
        <v>3190</v>
      </c>
      <c r="Q44" s="27" t="n">
        <v>6.41</v>
      </c>
      <c r="R44" s="8" t="n">
        <v>69.5</v>
      </c>
      <c r="S44" s="6" t="inlineStr"/>
      <c r="T44" s="6" t="n"/>
    </row>
    <row r="46" ht="28" customHeight="1">
      <c r="B46" s="3" t="inlineStr">
        <is>
          <t>What this is: yearly, population-weighted national figures from State of Global Air 2025 (HEI and IHME, Global Burden of Disease 2023), one block per card. Grey row = the card's main country.</t>
        </is>
      </c>
    </row>
    <row r="47" ht="28" customHeight="1">
      <c r="B47" s="3" t="inlineStr">
        <is>
          <t>Blue numbers come straight from the State of Global Air data service (data3.zevross.com/hei/globalburden-2025/v1, the source behind stateofglobalair.org/data), pulled 16 Oct 2026. Black = formula or written text.</t>
        </is>
      </c>
    </row>
    <row r="48" ht="28" customHeight="1">
      <c r="B48" s="3" t="inlineStr">
        <is>
          <t>Checked: every figure the report prints for these countries matches the site data; see SoGA checks.</t>
        </is>
      </c>
    </row>
    <row r="49" ht="28" customHeight="1">
      <c r="B49" s="3" t="inlineStr">
        <is>
          <t>These are background for the card back, never the card front. They are yearly national averages and deaths from long-term exposure, not the event: no death here is caused by the card's event, and the data stops in 2023, so 2024-2026 cards only get context.</t>
        </is>
      </c>
    </row>
    <row r="50" ht="28" customHeight="1">
      <c r="B50" s="3" t="inlineStr">
        <is>
          <t>x WHO annual uses the annual guideline (5 ug/m3, WHO_PM25_ANNUAL). The card front x WHO uses the 24-hour guideline (15). Do not put both on one card.</t>
        </is>
      </c>
    </row>
    <row r="51" ht="28" customHeight="1">
      <c r="B51" s="3" t="inlineStr">
        <is>
          <t>PM2.5 here includes desert dust (the report names dust as the reason Qatar and Saudi Arabia are highest). Ozone exposure stops at 2020 in this edition. The site gives NO2 in ug/m3 while the report prints ppb; NO2 is left out because no card uses it.</t>
        </is>
      </c>
    </row>
    <row r="52" ht="28" customHeight="1">
      <c r="B52" s="3" t="inlineStr">
        <is>
          <t>Deaths split by pollutant overlap, so outdoor + household can add to more than the total. Quote the total, or one part, not the sum.</t>
        </is>
      </c>
    </row>
    <row r="53" ht="28" customHeight="1">
      <c r="B53" s="3" t="inlineStr">
        <is>
          <t>The site CSV export carries an old citation line ("State of Global Air 2023 ... GBD 2020"). The values match the 2025 report, so cite: Health Effects Institute. 2025. State of Global Air 2025. Data source: Global Burden of Disease Study 2023, IHME.</t>
        </is>
      </c>
    </row>
  </sheetData>
  <mergeCells count="8">
    <mergeCell ref="B49:L49"/>
    <mergeCell ref="B50:L50"/>
    <mergeCell ref="B53:L53"/>
    <mergeCell ref="B52:L52"/>
    <mergeCell ref="B48:L48"/>
    <mergeCell ref="B47:L47"/>
    <mergeCell ref="B51:L51"/>
    <mergeCell ref="B46:L4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42" customWidth="1" min="1" max="1"/>
    <col width="8" customWidth="1" min="2" max="2"/>
    <col width="26" customWidth="1" min="3" max="3"/>
    <col width="26" customWidth="1" min="4" max="4"/>
    <col width="50" customWidth="1" min="5" max="5"/>
  </cols>
  <sheetData>
    <row r="1">
      <c r="A1" s="5" t="inlineStr">
        <is>
          <t>Report figure</t>
        </is>
      </c>
      <c r="B1" s="5" t="inlineStr">
        <is>
          <t>Page</t>
        </is>
      </c>
      <c r="C1" s="5" t="inlineStr">
        <is>
          <t>Report says</t>
        </is>
      </c>
      <c r="D1" s="5" t="inlineStr">
        <is>
          <t>Site data</t>
        </is>
      </c>
      <c r="E1" s="5" t="inlineStr">
        <is>
          <t>Result</t>
        </is>
      </c>
    </row>
    <row r="2">
      <c r="A2" s="6" t="inlineStr">
        <is>
          <t>Qatar yearly PM2.5, 2023</t>
        </is>
      </c>
      <c r="B2" s="6" t="n">
        <v>9</v>
      </c>
      <c r="C2" s="6" t="inlineStr">
        <is>
          <t>108 ug/m3</t>
        </is>
      </c>
      <c r="D2" s="8" t="n">
        <v>108</v>
      </c>
      <c r="E2" s="6" t="inlineStr">
        <is>
          <t>Matches</t>
        </is>
      </c>
    </row>
    <row r="3">
      <c r="A3" s="6" t="inlineStr">
        <is>
          <t>Saudi Arabia yearly PM2.5, 2023</t>
        </is>
      </c>
      <c r="B3" s="6" t="n">
        <v>9</v>
      </c>
      <c r="C3" s="6" t="inlineStr">
        <is>
          <t>74 ug/m3</t>
        </is>
      </c>
      <c r="D3" s="8" t="n">
        <v>73.5</v>
      </c>
      <c r="E3" s="6" t="inlineStr">
        <is>
          <t>Matches</t>
        </is>
      </c>
    </row>
    <row r="4">
      <c r="A4" s="6" t="inlineStr">
        <is>
          <t>Bangladesh yearly PM2.5, 2023</t>
        </is>
      </c>
      <c r="B4" s="6" t="n">
        <v>9</v>
      </c>
      <c r="C4" s="6" t="inlineStr">
        <is>
          <t>69 ug/m3</t>
        </is>
      </c>
      <c r="D4" s="8" t="n">
        <v>69.3</v>
      </c>
      <c r="E4" s="6" t="inlineStr">
        <is>
          <t>Matches</t>
        </is>
      </c>
    </row>
    <row r="5">
      <c r="A5" s="6" t="inlineStr">
        <is>
          <t>Qatar ozone, 2020</t>
        </is>
      </c>
      <c r="B5" s="6" t="n">
        <v>12</v>
      </c>
      <c r="C5" s="6" t="inlineStr">
        <is>
          <t>67.6 ppb</t>
        </is>
      </c>
      <c r="D5" s="8" t="n">
        <v>67.59999999999999</v>
      </c>
      <c r="E5" s="6" t="inlineStr">
        <is>
          <t>Matches</t>
        </is>
      </c>
    </row>
    <row r="6">
      <c r="A6" s="6" t="inlineStr">
        <is>
          <t>India ozone, 2020</t>
        </is>
      </c>
      <c r="B6" s="6" t="n">
        <v>12</v>
      </c>
      <c r="C6" s="6" t="inlineStr">
        <is>
          <t>67.2 ppb</t>
        </is>
      </c>
      <c r="D6" s="8" t="n">
        <v>67.2</v>
      </c>
      <c r="E6" s="6" t="inlineStr">
        <is>
          <t>Matches</t>
        </is>
      </c>
    </row>
    <row r="7">
      <c r="A7" s="6" t="inlineStr">
        <is>
          <t>Bangladesh ozone, 2020</t>
        </is>
      </c>
      <c r="B7" s="6" t="n">
        <v>12</v>
      </c>
      <c r="C7" s="6" t="inlineStr">
        <is>
          <t>65.4 ppb</t>
        </is>
      </c>
      <c r="D7" s="8" t="n">
        <v>65.40000000000001</v>
      </c>
      <c r="E7" s="6" t="inlineStr">
        <is>
          <t>Matches</t>
        </is>
      </c>
    </row>
    <row r="8">
      <c r="A8" s="6" t="inlineStr">
        <is>
          <t>India deaths, 2023</t>
        </is>
      </c>
      <c r="B8" s="6" t="n">
        <v>4</v>
      </c>
      <c r="C8" s="6" t="inlineStr">
        <is>
          <t>&gt; 2 million</t>
        </is>
      </c>
      <c r="D8" s="27" t="n">
        <v>2006000</v>
      </c>
      <c r="E8" s="6" t="inlineStr">
        <is>
          <t>Matches</t>
        </is>
      </c>
    </row>
    <row r="9">
      <c r="A9" s="6" t="inlineStr">
        <is>
          <t>China deaths, 2023</t>
        </is>
      </c>
      <c r="B9" s="6" t="n">
        <v>4</v>
      </c>
      <c r="C9" s="6" t="inlineStr">
        <is>
          <t>&gt; 2 million</t>
        </is>
      </c>
      <c r="D9" s="27" t="n">
        <v>2051000</v>
      </c>
      <c r="E9" s="6" t="inlineStr">
        <is>
          <t>Matches</t>
        </is>
      </c>
    </row>
    <row r="10">
      <c r="A10" s="6" t="inlineStr">
        <is>
          <t>Bangladesh deaths, 2023</t>
        </is>
      </c>
      <c r="B10" s="6" t="n">
        <v>4</v>
      </c>
      <c r="C10" s="6" t="inlineStr">
        <is>
          <t>&gt; 200,000</t>
        </is>
      </c>
      <c r="D10" s="27" t="n">
        <v>271300</v>
      </c>
      <c r="E10" s="6" t="inlineStr">
        <is>
          <t>Matches</t>
        </is>
      </c>
    </row>
    <row r="11">
      <c r="A11" s="6" t="inlineStr">
        <is>
          <t>Pakistan deaths, 2023</t>
        </is>
      </c>
      <c r="B11" s="6" t="n">
        <v>4</v>
      </c>
      <c r="C11" s="6" t="inlineStr">
        <is>
          <t>&gt; 200,000</t>
        </is>
      </c>
      <c r="D11" s="27" t="n">
        <v>247900</v>
      </c>
      <c r="E11" s="6" t="inlineStr">
        <is>
          <t>Matches</t>
        </is>
      </c>
    </row>
    <row r="12">
      <c r="A12" s="6" t="inlineStr">
        <is>
          <t>Nigeria deaths, 2023</t>
        </is>
      </c>
      <c r="B12" s="6" t="n">
        <v>4</v>
      </c>
      <c r="C12" s="6" t="inlineStr">
        <is>
          <t>&gt; 200,000</t>
        </is>
      </c>
      <c r="D12" s="27" t="n">
        <v>205800</v>
      </c>
      <c r="E12" s="6" t="inlineStr">
        <is>
          <t>Matches</t>
        </is>
      </c>
    </row>
    <row r="13">
      <c r="A13" s="6" t="inlineStr">
        <is>
          <t>Indonesia deaths, 2023</t>
        </is>
      </c>
      <c r="B13" s="6" t="n">
        <v>4</v>
      </c>
      <c r="C13" s="6" t="inlineStr">
        <is>
          <t>&gt; 100,000</t>
        </is>
      </c>
      <c r="D13" s="27" t="n">
        <v>192100</v>
      </c>
      <c r="E13" s="6" t="inlineStr">
        <is>
          <t>Matches</t>
        </is>
      </c>
    </row>
    <row r="14">
      <c r="A14" s="6" t="inlineStr">
        <is>
          <t>Myanmar deaths, 2023</t>
        </is>
      </c>
      <c r="B14" s="6" t="n">
        <v>4</v>
      </c>
      <c r="C14" s="6" t="inlineStr">
        <is>
          <t>&gt; 100,000</t>
        </is>
      </c>
      <c r="D14" s="27" t="n">
        <v>125900</v>
      </c>
      <c r="E14" s="6" t="inlineStr">
        <is>
          <t>Matches</t>
        </is>
      </c>
    </row>
    <row r="15">
      <c r="A15" s="6" t="inlineStr">
        <is>
          <t>Egypt deaths, 2023</t>
        </is>
      </c>
      <c r="B15" s="6" t="n">
        <v>4</v>
      </c>
      <c r="C15" s="6" t="inlineStr">
        <is>
          <t>&gt; 100,000</t>
        </is>
      </c>
      <c r="D15" s="27" t="n">
        <v>113100</v>
      </c>
      <c r="E15" s="6" t="inlineStr">
        <is>
          <t>Matches</t>
        </is>
      </c>
    </row>
    <row r="16">
      <c r="A16" s="6" t="inlineStr">
        <is>
          <t>Central African Republic, cooking with solid fuels</t>
        </is>
      </c>
      <c r="B16" s="6" t="n">
        <v>16</v>
      </c>
      <c r="C16" s="6" t="inlineStr">
        <is>
          <t>&gt; 99%</t>
        </is>
      </c>
      <c r="D16" s="8" t="n">
        <v>99.3</v>
      </c>
      <c r="E16" s="6" t="inlineStr">
        <is>
          <t>Matches</t>
        </is>
      </c>
    </row>
    <row r="17">
      <c r="A17" s="6" t="inlineStr">
        <is>
          <t>Singapore NO2, 2023</t>
        </is>
      </c>
      <c r="B17" s="6" t="n">
        <v>13</v>
      </c>
      <c r="C17" s="6" t="inlineStr">
        <is>
          <t>22 ppb</t>
        </is>
      </c>
      <c r="D17" s="8" t="inlineStr">
        <is>
          <t>41.3 ug/m3</t>
        </is>
      </c>
      <c r="E17" s="6" t="inlineStr">
        <is>
          <t>Matches after unit conversion (22 ppb x 1.88 = 41.4 ug/m3). The report prints ppb; the site gives ug/m3.</t>
        </is>
      </c>
    </row>
    <row r="19">
      <c r="A19" s="14" t="inlineStr">
        <is>
          <t>Errors in the report text (do not quote these lines)</t>
        </is>
      </c>
    </row>
    <row r="20">
      <c r="A20" s="6" t="inlineStr">
        <is>
          <t>WHO roadmap target year</t>
        </is>
      </c>
      <c r="B20" s="6" t="n">
        <v>6</v>
      </c>
      <c r="C20" s="6" t="inlineStr">
        <is>
          <t>"by 2024"</t>
        </is>
      </c>
      <c r="D20" s="6" t="n"/>
      <c r="E20" s="6" t="inlineStr">
        <is>
          <t>Pages 27 and 34 say 2040. 2040 is right.</t>
        </is>
      </c>
    </row>
    <row r="21">
      <c r="A21" s="6" t="inlineStr">
        <is>
          <t>Share of PM2.5 deaths from noncommunicable diseases</t>
        </is>
      </c>
      <c r="B21" s="6" t="n">
        <v>29</v>
      </c>
      <c r="C21" s="6" t="inlineStr">
        <is>
          <t>"4.5 million, or 67%"</t>
        </is>
      </c>
      <c r="D21" s="6" t="n"/>
      <c r="E21" s="6" t="inlineStr">
        <is>
          <t>4.5 of 4.9 million is 92%.</t>
        </is>
      </c>
    </row>
    <row r="22">
      <c r="A22" s="6" t="inlineStr">
        <is>
          <t>Dementia deaths from PM2.5, uncertainty range</t>
        </is>
      </c>
      <c r="B22" s="6" t="n">
        <v>29</v>
      </c>
      <c r="C22" s="6" t="inlineStr">
        <is>
          <t>"60,000–1.5"</t>
        </is>
      </c>
      <c r="D22" s="6" t="n"/>
      <c r="E22" s="6" t="inlineStr">
        <is>
          <t>Missing "million".</t>
        </is>
      </c>
    </row>
    <row r="23">
      <c r="A23" s="6" t="inlineStr">
        <is>
          <t>China clean-air paragraph</t>
        </is>
      </c>
      <c r="B23" s="6" t="n">
        <v>30</v>
      </c>
      <c r="C23" s="6" t="inlineStr">
        <is>
          <t>"Chinese cities (YEAR)"</t>
        </is>
      </c>
      <c r="D23" s="6" t="n"/>
      <c r="E23" s="6" t="inlineStr">
        <is>
          <t>Unfilled placeholder.</t>
        </is>
      </c>
    </row>
    <row r="24">
      <c r="A24" s="6" t="inlineStr">
        <is>
          <t>NO2 interim targets</t>
        </is>
      </c>
      <c r="B24" s="6" t="n">
        <v>14</v>
      </c>
      <c r="C24" s="6" t="inlineStr">
        <is>
          <t>"two interim targets ... 40, 30, and 20"</t>
        </is>
      </c>
      <c r="D24" s="6" t="n"/>
      <c r="E24" s="6" t="inlineStr">
        <is>
          <t>Three targets are listed.</t>
        </is>
      </c>
    </row>
    <row r="25">
      <c r="A25" s="6" t="inlineStr">
        <is>
          <t>Executive summary</t>
        </is>
      </c>
      <c r="B25" s="6" t="n">
        <v>4</v>
      </c>
      <c r="C25" s="6" t="inlineStr">
        <is>
          <t>"86% of global deaths were attributable to air pollution"</t>
        </is>
      </c>
      <c r="D25" s="6" t="n"/>
      <c r="E25" s="6" t="inlineStr">
        <is>
          <t>Means: 86% of air-pollution deaths were from noncommunicable diseases.</t>
        </is>
      </c>
    </row>
    <row r="26">
      <c r="A26" s="6" t="inlineStr">
        <is>
          <t>Deaths by pollutant</t>
        </is>
      </c>
      <c r="B26" s="6" t="n">
        <v>22</v>
      </c>
      <c r="C26" s="6" t="inlineStr">
        <is>
          <t>4.9 + 2.8 + 0.47 million</t>
        </is>
      </c>
      <c r="D26" s="6" t="n"/>
      <c r="E26" s="6" t="inlineStr">
        <is>
          <t>Adds to 8.17 million against a 7.9 million total (Figure 12 adds to 102.9%). Overlap between pollutants, not explained in the report.</t>
        </is>
      </c>
    </row>
    <row r="27">
      <c r="A27" s="6" t="inlineStr">
        <is>
          <t>Ozone countries meeting IT-1</t>
        </is>
      </c>
      <c r="B27" s="6" t="n">
        <v>11</v>
      </c>
      <c r="C27" s="6" t="inlineStr">
        <is>
          <t>"In 2023 ... 164 countries"</t>
        </is>
      </c>
      <c r="D27" s="6" t="n"/>
      <c r="E27" s="6" t="inlineStr">
        <is>
          <t>Ozone exposure data stops at 2020 in this edition.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2026-10-16T04:41:37Z</dcterms:created>
  <dcterms:modified xsi:type="dcterms:W3CDTF">2026-10-16T06:09:06Z</dcterms:modified>
</cp:coreProperties>
</file>